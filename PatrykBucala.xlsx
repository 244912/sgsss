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20" activeTab="15"/>
  </bookViews>
  <sheets>
    <sheet name="operacje" sheetId="1" r:id="rId1"/>
    <sheet name="dictionary" sheetId="3" r:id="rId2"/>
    <sheet name="operations" sheetId="2" r:id="rId3"/>
    <sheet name="1" sheetId="4" r:id="rId4"/>
    <sheet name="2" sheetId="6" r:id="rId5"/>
    <sheet name="3" sheetId="8" r:id="rId6"/>
    <sheet name="4" sheetId="9" r:id="rId7"/>
    <sheet name="5" sheetId="10" r:id="rId8"/>
    <sheet name="6" sheetId="11" r:id="rId9"/>
    <sheet name="7" sheetId="12" r:id="rId10"/>
    <sheet name="8" sheetId="13" r:id="rId11"/>
    <sheet name="9" sheetId="14" r:id="rId12"/>
    <sheet name="10" sheetId="15" r:id="rId13"/>
    <sheet name="11" sheetId="16" r:id="rId14"/>
    <sheet name="12" sheetId="17" r:id="rId15"/>
    <sheet name="Arkusz16" sheetId="18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<sst xmlns="http://schemas.openxmlformats.org/spreadsheetml/2006/main" count="2527" uniqueCount="73">
  <si>
    <t>Kwota</t>
  </si>
  <si>
    <t>Bank</t>
  </si>
  <si>
    <t>Produkt</t>
  </si>
  <si>
    <t>Kategoria</t>
  </si>
  <si>
    <t>Typ</t>
  </si>
  <si>
    <t>Data</t>
  </si>
  <si>
    <t>Miesiąc</t>
  </si>
  <si>
    <t>mBank</t>
  </si>
  <si>
    <t>Konto</t>
  </si>
  <si>
    <t>Jedzenie</t>
  </si>
  <si>
    <t>Wydatki</t>
  </si>
  <si>
    <t>Wypłata</t>
  </si>
  <si>
    <t>Wpływy</t>
  </si>
  <si>
    <t>Mieszkanie</t>
  </si>
  <si>
    <t>PKO BP</t>
  </si>
  <si>
    <t>Karta</t>
  </si>
  <si>
    <t>Subskrypcje</t>
  </si>
  <si>
    <t>Pozostałe wpływy</t>
  </si>
  <si>
    <t>Lokata</t>
  </si>
  <si>
    <t>Pozostałe wydatki</t>
  </si>
  <si>
    <t>Skarbonka</t>
  </si>
  <si>
    <t>Kieszonkowe</t>
  </si>
  <si>
    <t>Rozrywka</t>
  </si>
  <si>
    <t>Transport</t>
  </si>
  <si>
    <t>Odzież</t>
  </si>
  <si>
    <t>Studia</t>
  </si>
  <si>
    <t>Portfel</t>
  </si>
  <si>
    <t>Bony</t>
  </si>
  <si>
    <t>Gotówka</t>
  </si>
  <si>
    <t>Inwestycje</t>
  </si>
  <si>
    <t>Zdrowie i uroda</t>
  </si>
  <si>
    <t>Przelew</t>
  </si>
  <si>
    <t>Transakcja</t>
  </si>
  <si>
    <t>Darowizny</t>
  </si>
  <si>
    <t>Świadczenia</t>
  </si>
  <si>
    <t>Category</t>
  </si>
  <si>
    <t>Type</t>
  </si>
  <si>
    <t>Product</t>
  </si>
  <si>
    <t>Millennium</t>
  </si>
  <si>
    <t>Santander</t>
  </si>
  <si>
    <t>Wallet</t>
  </si>
  <si>
    <t>Accomodation</t>
  </si>
  <si>
    <t>Expense</t>
  </si>
  <si>
    <t>Account</t>
  </si>
  <si>
    <t>Gift card</t>
  </si>
  <si>
    <t>Clothing</t>
  </si>
  <si>
    <t>Savings account</t>
  </si>
  <si>
    <t>Credit card</t>
  </si>
  <si>
    <t>Money</t>
  </si>
  <si>
    <t>Entertainment</t>
  </si>
  <si>
    <t>Fixed-term deposit</t>
  </si>
  <si>
    <t>Groceries</t>
  </si>
  <si>
    <t>Health&amp;Beauty</t>
  </si>
  <si>
    <t>Multimedia</t>
  </si>
  <si>
    <t>Other expences</t>
  </si>
  <si>
    <t>Studies</t>
  </si>
  <si>
    <t>Transportation</t>
  </si>
  <si>
    <t>Allowance</t>
  </si>
  <si>
    <t>Income</t>
  </si>
  <si>
    <t>Financial</t>
  </si>
  <si>
    <t>Gift</t>
  </si>
  <si>
    <t>Other incoms</t>
  </si>
  <si>
    <t>Salary</t>
  </si>
  <si>
    <t>Scholarship</t>
  </si>
  <si>
    <t>Transfer</t>
  </si>
  <si>
    <t>Amount</t>
  </si>
  <si>
    <t>Date</t>
  </si>
  <si>
    <t>Month</t>
  </si>
  <si>
    <t>Opening balance</t>
  </si>
  <si>
    <t>Operation</t>
  </si>
  <si>
    <t>Closing balance</t>
  </si>
  <si>
    <t>Total</t>
  </si>
  <si>
    <t>INDIRECT("raport_"&amp;$B$12-1&amp;"[@[Closing balance ]]")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</si>
</sst>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.00\ [$zł-415]_-;\-* #,##0.00\ [$zł-415]_-;_-* &quot;-&quot;??\ [$zł-415]_-;_-@_-"/>
    <numFmt numFmtId="179" formatCode="#,##0.00\ &quot;zł&quot;;[Red]\-#,##0.00\ &quot;zł&quot;"/>
  </numFmts>
  <fonts count="22">
    <font>
      <sz val="11"/>
      <color theme="1"/>
      <name val="Calibri"/>
      <charset val="238"/>
      <scheme val="minor"/>
    </font>
    <font>
      <sz val="11"/>
      <color rgb="FF000000"/>
      <name val="Aptos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9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178" fontId="0" fillId="0" borderId="0" xfId="2" applyNumberFormat="1" applyFont="1"/>
    <xf numFmtId="178" fontId="0" fillId="0" borderId="0" xfId="0" applyNumberFormat="1"/>
    <xf numFmtId="179" fontId="1" fillId="0" borderId="0" xfId="0" applyNumberFormat="1" applyFont="1"/>
    <xf numFmtId="58" fontId="1" fillId="0" borderId="0" xfId="0" applyNumberFormat="1" applyFont="1"/>
    <xf numFmtId="0" fontId="1" fillId="0" borderId="1" xfId="0" applyFont="1" applyBorder="1"/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83">
    <dxf>
      <font>
        <name val="Aptos Narrow"/>
        <scheme val="none"/>
        <family val="2"/>
        <b val="0"/>
        <i val="0"/>
        <strike val="0"/>
        <u val="none"/>
        <sz val="11"/>
        <color rgb="FF000000"/>
      </font>
    </dxf>
    <dxf>
      <font>
        <name val="Aptos Narrow"/>
        <scheme val="none"/>
        <family val="2"/>
        <b val="0"/>
        <i val="0"/>
        <strike val="0"/>
        <u val="none"/>
        <sz val="11"/>
        <color rgb="FF000000"/>
      </font>
    </dxf>
    <dxf>
      <font>
        <name val="Aptos Narrow"/>
        <scheme val="none"/>
        <family val="2"/>
        <b val="0"/>
        <i val="0"/>
        <strike val="0"/>
        <u val="none"/>
        <sz val="11"/>
        <color rgb="FF000000"/>
      </font>
    </dxf>
    <dxf>
      <font>
        <name val="Aptos Narrow"/>
        <scheme val="none"/>
        <family val="2"/>
        <b val="0"/>
        <i val="0"/>
        <strike val="0"/>
        <u val="none"/>
        <sz val="11"/>
        <color rgb="FF000000"/>
      </font>
    </dxf>
    <dxf>
      <font>
        <name val="Aptos Narrow"/>
        <scheme val="none"/>
        <family val="2"/>
        <b val="0"/>
        <i val="0"/>
        <strike val="0"/>
        <u val="none"/>
        <sz val="11"/>
        <color rgb="FF000000"/>
      </font>
      <numFmt numFmtId="179" formatCode="#,##0.00\ &quot;zł&quot;;[Red]\-#,##0.00\ &quot;zł&quot;"/>
    </dxf>
    <dxf>
      <font>
        <name val="Aptos Narrow"/>
        <scheme val="none"/>
        <family val="2"/>
        <b val="0"/>
        <i val="0"/>
        <strike val="0"/>
        <u val="none"/>
        <sz val="11"/>
        <color rgb="FF000000"/>
      </font>
    </dxf>
    <dxf>
      <font>
        <name val="Aptos Narrow"/>
        <scheme val="none"/>
        <family val="2"/>
        <b val="0"/>
        <i val="0"/>
        <strike val="0"/>
        <u val="none"/>
        <sz val="11"/>
        <color rgb="FF000000"/>
      </font>
    </dxf>
    <dxf>
      <font>
        <name val="Aptos Narrow"/>
        <scheme val="none"/>
        <family val="2"/>
        <b val="0"/>
        <i val="0"/>
        <strike val="0"/>
        <u val="none"/>
        <sz val="11"/>
        <color rgb="FF000000"/>
      </font>
    </dxf>
    <dxf>
      <font>
        <name val="Aptos Narrow"/>
        <scheme val="none"/>
        <family val="2"/>
        <b val="0"/>
        <i val="0"/>
        <strike val="0"/>
        <u val="none"/>
        <sz val="11"/>
        <color rgb="FF000000"/>
      </font>
      <numFmt numFmtId="0" formatCode="General"/>
    </dxf>
    <dxf>
      <font>
        <name val="Aptos Narrow"/>
        <scheme val="none"/>
        <family val="2"/>
        <b val="0"/>
        <i val="0"/>
        <strike val="0"/>
        <u val="none"/>
        <sz val="11"/>
        <color rgb="FF000000"/>
      </font>
      <numFmt numFmtId="58" formatCode="m/d/yyyy"/>
    </dxf>
    <dxf>
      <font>
        <name val="Aptos Narrow"/>
        <scheme val="none"/>
        <family val="2"/>
        <b val="0"/>
        <i val="0"/>
        <strike val="0"/>
        <u val="none"/>
        <sz val="11"/>
        <color rgb="FF000000"/>
      </font>
      <numFmt numFmtId="0" formatCode="General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  <dxf>
      <numFmt numFmtId="178" formatCode="_-* #,##0.00\ [$zł-415]_-;\-* #,##0.00\ [$zł-415]_-;_-* &quot;-&quot;??\ [$zł-415]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categories" displayName="categories" ref="A1:B17" totalsRowShown="0">
  <autoFilter xmlns:etc="http://www.wps.cn/officeDocument/2017/etCustomData" ref="A1:B17" etc:filterBottomFollowUsedRange="0"/>
  <sortState ref="A1:B17">
    <sortCondition ref="B2:B17"/>
    <sortCondition ref="A2:A17"/>
  </sortState>
  <tableColumns count="2">
    <tableColumn id="1" name="Category" dataDxfId="0"/>
    <tableColumn id="2" name="Type" dataDxfId="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4" name="products" displayName="products" ref="D1:E8" totalsRowShown="0">
  <autoFilter xmlns:etc="http://www.wps.cn/officeDocument/2017/etCustomData" ref="D1:E8" etc:filterBottomFollowUsedRange="0"/>
  <sortState ref="D1:E8">
    <sortCondition ref="D2:D8"/>
    <sortCondition ref="E2:E8"/>
  </sortState>
  <tableColumns count="2">
    <tableColumn id="1" name="Bank" dataDxfId="2"/>
    <tableColumn id="2" name="Product" dataDxfId="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2" name="operations" displayName="operations" ref="A1:G207" totalsRowShown="0">
  <autoFilter xmlns:etc="http://www.wps.cn/officeDocument/2017/etCustomData" ref="A1:G207" etc:filterBottomFollowUsedRange="0"/>
  <tableColumns count="7">
    <tableColumn id="1" name="Amount" dataDxfId="4"/>
    <tableColumn id="2" name="Bank" dataDxfId="5"/>
    <tableColumn id="3" name="Product" dataDxfId="6"/>
    <tableColumn id="4" name="Category" dataDxfId="7"/>
    <tableColumn id="5" name="Type" dataDxfId="8">
      <calculatedColumnFormula>_xlfn.XLOOKUP(operations[[#This Row],[Category]],categories[Category],categories[Type],"",0,1)</calculatedColumnFormula>
    </tableColumn>
    <tableColumn id="6" name="Date" dataDxfId="9"/>
    <tableColumn id="7" name="Month" dataDxfId="10">
      <calculatedColumnFormula>MONTH(operations[[#This Row],[Date]])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id="7" name="raports_1" displayName="raports_1" ref="A1:E9" totalsRowCount="1">
  <autoFilter xmlns:etc="http://www.wps.cn/officeDocument/2017/etCustomData" ref="A1:E8" etc:filterBottomFollowUsedRange="0"/>
  <tableColumns count="5">
    <tableColumn id="1" name="Bank" totalsRowLabel="Total"/>
    <tableColumn id="2" name="Product"/>
    <tableColumn id="3" name="Opening balance" dataDxfId="11" totalsRowFunction="sum"/>
    <tableColumn id="4" name="Operation" dataDxfId="12" totalsRowFunction="sum">
      <calculatedColumnFormula>SUMIFS(operations[Amount],operations[Bank],raports_1[[#This Row],[Bank]],operations[Product],raports_1[[#This Row],[Product]],operations[Month],$B$12)</calculatedColumnFormula>
    </tableColumn>
    <tableColumn id="5" name="Closing balance" dataDxfId="13" totalsRowFunction="sum">
      <calculatedColumnFormula>raports_1[[#This Row],[Opening balance]]+raports_1[[#This Row],[Operation]]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8" name="Expenses" displayName="Expenses" ref="G1:H8" totalsRowCount="1">
  <autoFilter xmlns:etc="http://www.wps.cn/officeDocument/2017/etCustomData" ref="G1:H7" etc:filterBottomFollowUsedRange="0"/>
  <tableColumns count="2">
    <tableColumn id="1" name="Category" totalsRowLabel="Total"/>
    <tableColumn id="2" name="Total" dataDxfId="14" totalsRowFunction="sum">
      <calculatedColumnFormula>SUMIFS(operations[Amount],operations[Category],Expenses[[#This Row],[Category]],operations[Month],'1'!$B$12)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9" name="Table9" displayName="Table9" ref="J1:K12" totalsRowCount="1">
  <autoFilter xmlns:etc="http://www.wps.cn/officeDocument/2017/etCustomData" ref="J1:K11" etc:filterBottomFollowUsedRange="0"/>
  <tableColumns count="2">
    <tableColumn id="1" name="Category" totalsRowLabel="Total"/>
    <tableColumn id="2" name="Total" dataDxfId="15" totalsRowFunction="sum">
      <calculatedColumnFormula>SUMIFS(operations[Amount],operations[Category],Table9[[#This Row],[Category]],operations[Month],'1'!$B$12)</calculatedColumnFormula>
    </tableColumn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10" name="balance_1" displayName="balance_1" ref="A14:B18" totalsRowCount="1">
  <autoFilter xmlns:etc="http://www.wps.cn/officeDocument/2017/etCustomData" ref="A14:B17" etc:filterBottomFollowUsedRange="0"/>
  <tableColumns count="2">
    <tableColumn id="1" name="Type" totalsRowLabel="Total"/>
    <tableColumn id="2" name="Total" dataDxfId="16" totalsRowFunction="sum">
      <calculatedColumnFormula>SUMIFS(operations[Amount],operations[Type],balance_1[[#This Row],[Type]],operations[Month],'1'!$B$12)</calculatedColumnFormula>
    </tableColumn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id="13" name="raports_2" displayName="raports_2" ref="A1:E9" totalsRowCount="1">
  <autoFilter xmlns:etc="http://www.wps.cn/officeDocument/2017/etCustomData" ref="A1:E8" etc:filterBottomFollowUsedRange="0"/>
  <tableColumns count="5">
    <tableColumn id="1" name="Bank" totalsRowLabel="Total"/>
    <tableColumn id="2" name="Product"/>
    <tableColumn id="3" name="Opening balance" dataDxfId="17" totalsRowFunction="sum"/>
    <tableColumn id="4" name="Operation" dataDxfId="18" totalsRowFunction="sum">
      <calculatedColumnFormula>SUMIFS(operations[Amount],operations[Bank],raports_2[[#This Row],[Bank]],operations[Product],raports_2[[#This Row],[Product]],operations[Month],$B$12)</calculatedColumnFormula>
    </tableColumn>
    <tableColumn id="5" name="Closing balance" dataDxfId="19" totalsRowFunction="sum">
      <calculatedColumnFormula>raports_2[[#This Row],[Opening balance]]+raports_2[[#This Row],[Operation]]</calculatedColumnFormula>
    </tableColumn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id="14" name="Expenses2" displayName="Expenses2" ref="G1:H8" totalsRowCount="1">
  <autoFilter xmlns:etc="http://www.wps.cn/officeDocument/2017/etCustomData" ref="G1:H7" etc:filterBottomFollowUsedRange="0"/>
  <tableColumns count="2">
    <tableColumn id="1" name="Category" totalsRowLabel="Total"/>
    <tableColumn id="2" name="Total" dataDxfId="20" totalsRowFunction="sum">
      <calculatedColumnFormula>SUMIFS(operations[Amount],operations[Category],Expenses2[[#This Row],[Category]],operations[Month],'1'!$B$12)</calculatedColumnFormula>
    </tableColumn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id="15" name="Table916" displayName="Table916" ref="J1:K12" totalsRowCount="1">
  <autoFilter xmlns:etc="http://www.wps.cn/officeDocument/2017/etCustomData" ref="J1:K11" etc:filterBottomFollowUsedRange="0"/>
  <tableColumns count="2">
    <tableColumn id="1" name="Category" totalsRowLabel="Total"/>
    <tableColumn id="2" name="Total" dataDxfId="21" totalsRowFunction="sum">
      <calculatedColumnFormula>SUMIFS(operations[Amount],operations[Category],Table916[[#This Row],[Category]],operations[Month],'1'!$B$12)</calculatedColumnFormula>
    </tableColumn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id="16" name="balance_2" displayName="balance_2" ref="A14:B18" totalsRowCount="1">
  <autoFilter xmlns:etc="http://www.wps.cn/officeDocument/2017/etCustomData" ref="A14:B17" etc:filterBottomFollowUsedRange="0"/>
  <tableColumns count="2">
    <tableColumn id="1" name="Type" totalsRowLabel="Total"/>
    <tableColumn id="2" name="Total" dataDxfId="22" totalsRowFunction="sum">
      <calculatedColumnFormula>SUMIFS(operations[Amount],operations[Type],balance_2[[#This Row],[Type]],operations[Month],'1'!$B$12)</calculatedColumnFormula>
    </tableColumn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id="21" name="raports_3" displayName="raports_3" ref="A1:E9" totalsRowCount="1">
  <autoFilter xmlns:etc="http://www.wps.cn/officeDocument/2017/etCustomData" ref="A1:E8" etc:filterBottomFollowUsedRange="0"/>
  <tableColumns count="5">
    <tableColumn id="1" name="Bank" totalsRowLabel="Total"/>
    <tableColumn id="2" name="Product"/>
    <tableColumn id="3" name="Opening balance" dataDxfId="23" totalsRowFunction="sum"/>
    <tableColumn id="4" name="Operation" dataDxfId="24" totalsRowFunction="sum">
      <calculatedColumnFormula>SUMIFS(operations[Amount],operations[Bank],raports_3[[#This Row],[Bank]],operations[Product],raports_3[[#This Row],[Product]],operations[Month],$B$12)</calculatedColumnFormula>
    </tableColumn>
    <tableColumn id="5" name="Closing balance" dataDxfId="25" totalsRowFunction="sum">
      <calculatedColumnFormula>raports_3[[#This Row],[Opening balance]]+raports_3[[#This Row],[Operation]]</calculatedColumnFormula>
    </tableColumn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22" name="Expenses3" displayName="Expenses3" ref="G1:H8" totalsRowCount="1">
  <autoFilter xmlns:etc="http://www.wps.cn/officeDocument/2017/etCustomData" ref="G1:H7" etc:filterBottomFollowUsedRange="0"/>
  <tableColumns count="2">
    <tableColumn id="1" name="Category" totalsRowLabel="Total"/>
    <tableColumn id="2" name="Total" dataDxfId="26" totalsRowFunction="sum">
      <calculatedColumnFormula>SUMIFS(operations[Amount],operations[Category],Expenses3[[#This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id="23" name="Table91624" displayName="Table91624" ref="J1:K12" totalsRowCount="1">
  <autoFilter xmlns:etc="http://www.wps.cn/officeDocument/2017/etCustomData" ref="J1:K11" etc:filterBottomFollowUsedRange="0"/>
  <tableColumns count="2">
    <tableColumn id="1" name="Category" totalsRowLabel="Total"/>
    <tableColumn id="2" name="Total" dataDxfId="27" totalsRowFunction="sum">
      <calculatedColumnFormula>SUMIFS(operations[Amount],operations[Category],Table91624[[#This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id="24" name="balance_3" displayName="balance_3" ref="A14:B18" totalsRowCount="1">
  <autoFilter xmlns:etc="http://www.wps.cn/officeDocument/2017/etCustomData" ref="A14:B17" etc:filterBottomFollowUsedRange="0"/>
  <tableColumns count="2">
    <tableColumn id="1" name="Type" totalsRowLabel="Total"/>
    <tableColumn id="2" name="Total" dataDxfId="28" totalsRowFunction="sum">
      <calculatedColumnFormula>SUMIFS(operations[Amount],operations[Type],balance_3[[#This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id="25" name="raports_4" displayName="raports_4" ref="A1:E9" totalsRowCount="1">
  <autoFilter xmlns:etc="http://www.wps.cn/officeDocument/2017/etCustomData" ref="A1:E8" etc:filterBottomFollowUsedRange="0"/>
  <tableColumns count="5">
    <tableColumn id="1" name="Bank" totalsRowLabel="Total"/>
    <tableColumn id="2" name="Product"/>
    <tableColumn id="3" name="Opening balance" dataDxfId="29" totalsRowFunction="sum"/>
    <tableColumn id="4" name="Operation" dataDxfId="30" totalsRowFunction="sum">
      <calculatedColumnFormula>SUMIFS(operations[Amount],operations[Bank],raports_4[[#This Row],[Bank]],operations[Product],raports_4[[#This Row],[Product]],operations[Month],$B$12)</calculatedColumnFormula>
    </tableColumn>
    <tableColumn id="5" name="Closing balance" dataDxfId="31" totalsRowFunction="sum">
      <calculatedColumnFormula>raports_4[[#This Row],[Opening balance]]+raports_4[[#This Row],[Operation]]</calculatedColumnFormula>
    </tableColumn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id="26" name="Expenses4" displayName="Expenses4" ref="G1:H8" totalsRowCount="1">
  <autoFilter xmlns:etc="http://www.wps.cn/officeDocument/2017/etCustomData" ref="G1:H7" etc:filterBottomFollowUsedRange="0"/>
  <tableColumns count="2">
    <tableColumn id="1" name="Category" totalsRowLabel="Total"/>
    <tableColumn id="2" name="Total" dataDxfId="32" totalsRowFunction="sum">
      <calculatedColumnFormula>SUMIFS(operations[Amount],operations[Category],Expenses4[[#This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id="27" name="Table91628" displayName="Table91628" ref="J1:K12" totalsRowCount="1">
  <autoFilter xmlns:etc="http://www.wps.cn/officeDocument/2017/etCustomData" ref="J1:K11" etc:filterBottomFollowUsedRange="0"/>
  <tableColumns count="2">
    <tableColumn id="1" name="Category" totalsRowLabel="Total"/>
    <tableColumn id="2" name="Total" dataDxfId="33" totalsRowFunction="sum">
      <calculatedColumnFormula>SUMIFS(operations[Amount],operations[Category],Table91628[[#This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id="28" name="balance_4" displayName="balance_4" ref="A14:B18" totalsRowCount="1">
  <autoFilter xmlns:etc="http://www.wps.cn/officeDocument/2017/etCustomData" ref="A14:B17" etc:filterBottomFollowUsedRange="0"/>
  <tableColumns count="2">
    <tableColumn id="1" name="Type" totalsRowLabel="Total"/>
    <tableColumn id="2" name="Total" dataDxfId="34" totalsRowFunction="sum">
      <calculatedColumnFormula>SUMIFS(operations[Amount],operations[Type],balance_4[[#This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id="29" name="raports_6" displayName="raports_6" ref="A1:E9" totalsRowCount="1">
  <autoFilter xmlns:etc="http://www.wps.cn/officeDocument/2017/etCustomData" ref="A1:E8" etc:filterBottomFollowUsedRange="0"/>
  <tableColumns count="5">
    <tableColumn id="1" name="Bank" totalsRowLabel="Total"/>
    <tableColumn id="2" name="Product"/>
    <tableColumn id="3" name="Opening balance" dataDxfId="35" totalsRowFunction="sum"/>
    <tableColumn id="4" name="Operation" dataDxfId="36" totalsRowFunction="sum">
      <calculatedColumnFormula>SUMIFS(operations[Amount],operations[Bank],raports_6[[#This Row],[Bank]],operations[Product],raports_6[[#This Row],[Product]],operations[Month],$B$12)</calculatedColumnFormula>
    </tableColumn>
    <tableColumn id="5" name="Closing balance" dataDxfId="37" totalsRowFunction="sum">
      <calculatedColumnFormula>raports_6[[#This Row],[Opening balance]]+raports_6[[#This Row],[Operation]]</calculatedColumnFormula>
    </tableColumn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id="30" name="Expenses5" displayName="Expenses5" ref="G1:H8" totalsRowCount="1">
  <autoFilter xmlns:etc="http://www.wps.cn/officeDocument/2017/etCustomData" ref="G1:H7" etc:filterBottomFollowUsedRange="0"/>
  <tableColumns count="2">
    <tableColumn id="1" name="Category" totalsRowLabel="Total"/>
    <tableColumn id="2" name="Total" dataDxfId="38" totalsRowFunction="sum">
      <calculatedColumnFormula>SUMIFS(operations[Amount],operations[Category],Expenses5[[#This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id="31" name="Table9162832" displayName="Table9162832" ref="J1:K12" totalsRowCount="1">
  <autoFilter xmlns:etc="http://www.wps.cn/officeDocument/2017/etCustomData" ref="J1:K11" etc:filterBottomFollowUsedRange="0"/>
  <tableColumns count="2">
    <tableColumn id="1" name="Category" totalsRowLabel="Total"/>
    <tableColumn id="2" name="Total" dataDxfId="39" totalsRowFunction="sum">
      <calculatedColumnFormula>SUMIFS(operations[Amount],operations[Category],Table9162832[[#This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id="32" name="balance_5" displayName="balance_5" ref="A14:B18" totalsRowCount="1">
  <autoFilter xmlns:etc="http://www.wps.cn/officeDocument/2017/etCustomData" ref="A14:B17" etc:filterBottomFollowUsedRange="0"/>
  <tableColumns count="2">
    <tableColumn id="1" name="Type" totalsRowLabel="Total"/>
    <tableColumn id="2" name="Total" dataDxfId="40" totalsRowFunction="sum">
      <calculatedColumnFormula>SUMIFS(operations[Amount],operations[Type],balance_5[[#This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id="33" name="raports_5" displayName="raports_5" ref="A1:E9" totalsRowCount="1">
  <autoFilter xmlns:etc="http://www.wps.cn/officeDocument/2017/etCustomData" ref="A1:E8" etc:filterBottomFollowUsedRange="0"/>
  <tableColumns count="5">
    <tableColumn id="1" name="Bank" totalsRowLabel="Total"/>
    <tableColumn id="2" name="Product"/>
    <tableColumn id="3" name="Opening balance" dataDxfId="41" totalsRowFunction="sum"/>
    <tableColumn id="4" name="Operation" dataDxfId="42" totalsRowFunction="sum">
      <calculatedColumnFormula>SUMIFS(operations[Amount],operations[Bank],raports_5[[#This Row],[Bank]],operations[Product],raports_5[[#This Row],[Product]],operations[Month],$B$12)</calculatedColumnFormula>
    </tableColumn>
    <tableColumn id="5" name="Closing balance" dataDxfId="43" totalsRowFunction="sum">
      <calculatedColumnFormula>raports_5[[#This Row],[Opening balance]]+raports_5[[#This Row],[Operation]]</calculatedColumnFormula>
    </tableColumn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id="34" name="Expenses6" displayName="Expenses6" ref="G1:H8" totalsRowCount="1">
  <autoFilter xmlns:etc="http://www.wps.cn/officeDocument/2017/etCustomData" ref="G1:H7" etc:filterBottomFollowUsedRange="0"/>
  <tableColumns count="2">
    <tableColumn id="1" name="Category" totalsRowLabel="Total"/>
    <tableColumn id="2" name="Total" dataDxfId="44" totalsRowFunction="sum">
      <calculatedColumnFormula>SUMIFS(operations[Amount],operations[Category],Expenses6[[#This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id="35" name="Table916283236" displayName="Table916283236" ref="J1:K12" totalsRowCount="1">
  <autoFilter xmlns:etc="http://www.wps.cn/officeDocument/2017/etCustomData" ref="J1:K11" etc:filterBottomFollowUsedRange="0"/>
  <tableColumns count="2">
    <tableColumn id="1" name="Category" totalsRowLabel="Total"/>
    <tableColumn id="2" name="Total" dataDxfId="45" totalsRowFunction="sum">
      <calculatedColumnFormula>SUMIFS(operations[Amount],operations[Category],Table916283236[[#This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id="36" name="balance_6" displayName="balance_6" ref="A14:B18" totalsRowCount="1">
  <autoFilter xmlns:etc="http://www.wps.cn/officeDocument/2017/etCustomData" ref="A14:B17" etc:filterBottomFollowUsedRange="0"/>
  <tableColumns count="2">
    <tableColumn id="1" name="Type" totalsRowLabel="Total"/>
    <tableColumn id="2" name="Total" dataDxfId="46" totalsRowFunction="sum">
      <calculatedColumnFormula>SUMIFS(operations[Amount],operations[Type],balance_6[[#This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id="37" name="raports_7" displayName="raports_7" ref="A1:E9" totalsRowCount="1">
  <autoFilter xmlns:etc="http://www.wps.cn/officeDocument/2017/etCustomData" ref="A1:E8" etc:filterBottomFollowUsedRange="0"/>
  <tableColumns count="5">
    <tableColumn id="1" name="Bank" totalsRowLabel="Total"/>
    <tableColumn id="2" name="Product"/>
    <tableColumn id="3" name="Opening balance" dataDxfId="47" totalsRowFunction="sum"/>
    <tableColumn id="4" name="Operation" dataDxfId="48" totalsRowFunction="sum">
      <calculatedColumnFormula>SUMIFS(operations[Amount],operations[Bank],raports_7[[#This Row],[Bank]],operations[Product],raports_7[[#This Row],[Product]],operations[Month],$B$12)</calculatedColumnFormula>
    </tableColumn>
    <tableColumn id="5" name="Closing balance" dataDxfId="49" totalsRowFunction="sum">
      <calculatedColumnFormula>raports_7[[#This Row],[Opening balance]]+raports_7[[#This Row],[Operation]]</calculatedColumnFormula>
    </tableColumn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id="38" name="Expenses7" displayName="Expenses7" ref="G1:H8" totalsRowCount="1">
  <autoFilter xmlns:etc="http://www.wps.cn/officeDocument/2017/etCustomData" ref="G1:H7" etc:filterBottomFollowUsedRange="0"/>
  <tableColumns count="2">
    <tableColumn id="1" name="Category" totalsRowLabel="Total"/>
    <tableColumn id="2" name="Total" dataDxfId="50" totalsRowFunction="sum">
      <calculatedColumnFormula>SUMIFS(operations[Amount],operations[Category],Expenses7[[#This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id="39" name="Table91628323640" displayName="Table91628323640" ref="J1:K12" totalsRowCount="1">
  <autoFilter xmlns:etc="http://www.wps.cn/officeDocument/2017/etCustomData" ref="J1:K11" etc:filterBottomFollowUsedRange="0"/>
  <tableColumns count="2">
    <tableColumn id="1" name="Category" totalsRowLabel="Total"/>
    <tableColumn id="2" name="Total" dataDxfId="51" totalsRowFunction="sum">
      <calculatedColumnFormula>SUMIFS(operations[Amount],operations[Category],Table91628323640[[#This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id="40" name="balance_7" displayName="balance_7" ref="A14:B18" totalsRowCount="1">
  <autoFilter xmlns:etc="http://www.wps.cn/officeDocument/2017/etCustomData" ref="A14:B17" etc:filterBottomFollowUsedRange="0"/>
  <tableColumns count="2">
    <tableColumn id="1" name="Type" totalsRowLabel="Total"/>
    <tableColumn id="2" name="Total" dataDxfId="52" totalsRowFunction="sum">
      <calculatedColumnFormula>SUMIFS(operations[Amount],operations[Type],balance_7[[#This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id="41" name="raports_8" displayName="raports_8" ref="A1:E9" totalsRowCount="1">
  <autoFilter xmlns:etc="http://www.wps.cn/officeDocument/2017/etCustomData" ref="A1:E8" etc:filterBottomFollowUsedRange="0"/>
  <tableColumns count="5">
    <tableColumn id="1" name="Bank" totalsRowLabel="Total"/>
    <tableColumn id="2" name="Product"/>
    <tableColumn id="3" name="Opening balance" dataDxfId="53" totalsRowFunction="sum"/>
    <tableColumn id="4" name="Operation" dataDxfId="54" totalsRowFunction="sum">
      <calculatedColumnFormula>SUMIFS(operations[Amount],operations[Bank],raports_8[[#This Row],[Bank]],operations[Product],raports_8[[#This Row],[Product]],operations[Month],$B$12)</calculatedColumnFormula>
    </tableColumn>
    <tableColumn id="5" name="Closing balance" dataDxfId="55" totalsRowFunction="sum">
      <calculatedColumnFormula>raports_8[[#This Row],[Opening balance]]+raports_8[[#This Row],[Operation]]</calculatedColumnFormula>
    </tableColumn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id="42" name="Expenses8" displayName="Expenses8" ref="G1:H8" totalsRowCount="1">
  <autoFilter xmlns:etc="http://www.wps.cn/officeDocument/2017/etCustomData" ref="G1:H7" etc:filterBottomFollowUsedRange="0"/>
  <tableColumns count="2">
    <tableColumn id="1" name="Category" totalsRowLabel="Total"/>
    <tableColumn id="2" name="Total" dataDxfId="56" totalsRowFunction="sum">
      <calculatedColumnFormula>SUMIFS(operations[Amount],operations[Category],Expenses8[[#This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id="43" name="Table9162832364044" displayName="Table9162832364044" ref="J1:K12" totalsRowCount="1">
  <autoFilter xmlns:etc="http://www.wps.cn/officeDocument/2017/etCustomData" ref="J1:K11" etc:filterBottomFollowUsedRange="0"/>
  <tableColumns count="2">
    <tableColumn id="1" name="Category" totalsRowLabel="Total"/>
    <tableColumn id="2" name="Total" dataDxfId="57" totalsRowFunction="sum">
      <calculatedColumnFormula>SUMIFS(operations[Amount],operations[Category],Table9162832364044[[#This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id="44" name="balance_8" displayName="balance_8" ref="A14:B18" totalsRowCount="1">
  <autoFilter xmlns:etc="http://www.wps.cn/officeDocument/2017/etCustomData" ref="A14:B17" etc:filterBottomFollowUsedRange="0"/>
  <tableColumns count="2">
    <tableColumn id="1" name="Type" totalsRowLabel="Total"/>
    <tableColumn id="2" name="Total" dataDxfId="58" totalsRowFunction="sum">
      <calculatedColumnFormula>SUMIFS(operations[Amount],operations[Type],balance_8[[#This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id="45" name="raports_9" displayName="raports_9" ref="A1:E9" totalsRowCount="1">
  <autoFilter xmlns:etc="http://www.wps.cn/officeDocument/2017/etCustomData" ref="A1:E8" etc:filterBottomFollowUsedRange="0"/>
  <tableColumns count="5">
    <tableColumn id="1" name="Bank" totalsRowLabel="Total"/>
    <tableColumn id="2" name="Product"/>
    <tableColumn id="3" name="Opening balance" dataDxfId="59" totalsRowFunction="sum"/>
    <tableColumn id="4" name="Operation" dataDxfId="60" totalsRowFunction="sum">
      <calculatedColumnFormula>SUMIFS(operations[Amount],operations[Bank],raports_9[[#This Row],[Bank]],operations[Product],raports_9[[#This Row],[Product]],operations[Month],$B$12)</calculatedColumnFormula>
    </tableColumn>
    <tableColumn id="5" name="Closing balance" dataDxfId="61" totalsRowFunction="sum">
      <calculatedColumnFormula>raports_9[[#This Row],[Opening balance]]+raports_9[[#This Row],[Operation]]</calculatedColumnFormula>
    </tableColumn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id="46" name="Expenses9" displayName="Expenses9" ref="G1:H8" totalsRowCount="1">
  <autoFilter xmlns:etc="http://www.wps.cn/officeDocument/2017/etCustomData" ref="G1:H7" etc:filterBottomFollowUsedRange="0"/>
  <tableColumns count="2">
    <tableColumn id="1" name="Category" totalsRowLabel="Total"/>
    <tableColumn id="2" name="Total" dataDxfId="62" totalsRowFunction="sum">
      <calculatedColumnFormula>SUMIFS(operations[Amount],operations[Category],Expenses9[[#This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id="47" name="Table916283236404448" displayName="Table916283236404448" ref="J1:K12" totalsRowCount="1">
  <autoFilter xmlns:etc="http://www.wps.cn/officeDocument/2017/etCustomData" ref="J1:K11" etc:filterBottomFollowUsedRange="0"/>
  <tableColumns count="2">
    <tableColumn id="1" name="Category" totalsRowLabel="Total"/>
    <tableColumn id="2" name="Total" dataDxfId="63" totalsRowFunction="sum">
      <calculatedColumnFormula>SUMIFS(operations[Amount],operations[Category],Table916283236404448[[#This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id="48" name="balance_9" displayName="balance_9" ref="A14:B18" totalsRowCount="1">
  <autoFilter xmlns:etc="http://www.wps.cn/officeDocument/2017/etCustomData" ref="A14:B17" etc:filterBottomFollowUsedRange="0"/>
  <tableColumns count="2">
    <tableColumn id="1" name="Type" totalsRowLabel="Total"/>
    <tableColumn id="2" name="Total" dataDxfId="64" totalsRowFunction="sum">
      <calculatedColumnFormula>SUMIFS(operations[Amount],operations[Type],balance_9[[#This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id="49" name="raports_10" displayName="raports_10" ref="A1:E9" totalsRowCount="1">
  <autoFilter xmlns:etc="http://www.wps.cn/officeDocument/2017/etCustomData" ref="A1:E8" etc:filterBottomFollowUsedRange="0"/>
  <tableColumns count="5">
    <tableColumn id="1" name="Bank" totalsRowLabel="Total"/>
    <tableColumn id="2" name="Product"/>
    <tableColumn id="3" name="Opening balance" dataDxfId="65" totalsRowFunction="sum"/>
    <tableColumn id="4" name="Operation" dataDxfId="66" totalsRowFunction="sum">
      <calculatedColumnFormula>SUMIFS(operations[Amount],operations[Bank],raports_10[[#This Row],[Bank]],operations[Product],raports_10[[#This Row],[Product]],operations[Month],$B$12)</calculatedColumnFormula>
    </tableColumn>
    <tableColumn id="5" name="Closing balance" dataDxfId="67" totalsRowFunction="sum">
      <calculatedColumnFormula>raports_10[[#This Row],[Opening balance]]+raports_10[[#This Row],[Operation]]</calculatedColumnFormula>
    </tableColumn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id="50" name="Expenses10" displayName="Expenses10" ref="G1:H8" totalsRowCount="1">
  <autoFilter xmlns:etc="http://www.wps.cn/officeDocument/2017/etCustomData" ref="G1:H7" etc:filterBottomFollowUsedRange="0"/>
  <tableColumns count="2">
    <tableColumn id="1" name="Category" totalsRowLabel="Total"/>
    <tableColumn id="2" name="Total" dataDxfId="68" totalsRowFunction="sum">
      <calculatedColumnFormula>SUMIFS(operations[Amount],operations[Category],Expenses10[[#This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id="51" name="Table91628323640444852" displayName="Table91628323640444852" ref="J1:K12" totalsRowCount="1">
  <autoFilter xmlns:etc="http://www.wps.cn/officeDocument/2017/etCustomData" ref="J1:K11" etc:filterBottomFollowUsedRange="0"/>
  <tableColumns count="2">
    <tableColumn id="1" name="Category" totalsRowLabel="Total"/>
    <tableColumn id="2" name="Total" dataDxfId="69" totalsRowFunction="sum">
      <calculatedColumnFormula>SUMIFS(operations[Amount],operations[Category],Table91628323640444852[[#This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id="52" name="balance_10" displayName="balance_10" ref="A14:B18" totalsRowCount="1">
  <autoFilter xmlns:etc="http://www.wps.cn/officeDocument/2017/etCustomData" ref="A14:B17" etc:filterBottomFollowUsedRange="0"/>
  <tableColumns count="2">
    <tableColumn id="1" name="Type" totalsRowLabel="Total"/>
    <tableColumn id="2" name="Total" dataDxfId="70" totalsRowFunction="sum">
      <calculatedColumnFormula>SUMIFS(operations[Amount],operations[Type],balance_10[[#This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id="53" name="raports_11" displayName="raports_11" ref="A1:E9" totalsRowCount="1">
  <autoFilter xmlns:etc="http://www.wps.cn/officeDocument/2017/etCustomData" ref="A1:E8" etc:filterBottomFollowUsedRange="0"/>
  <tableColumns count="5">
    <tableColumn id="1" name="Bank" totalsRowLabel="Total"/>
    <tableColumn id="2" name="Product"/>
    <tableColumn id="3" name="Opening balance" dataDxfId="71" totalsRowFunction="sum"/>
    <tableColumn id="4" name="Operation" dataDxfId="72" totalsRowFunction="sum">
      <calculatedColumnFormula>SUMIFS(operations[Amount],operations[Bank],raports_11[[#This Row],[Bank]],operations[Product],raports_11[[#This Row],[Product]],operations[Month],$B$12)</calculatedColumnFormula>
    </tableColumn>
    <tableColumn id="5" name="Closing balance" dataDxfId="73" totalsRowFunction="sum">
      <calculatedColumnFormula>raports_11[[#This Row],[Opening balance]]+raports_11[[#This Row],[Operation]]</calculatedColumnFormula>
    </tableColumn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id="54" name="Expenses11" displayName="Expenses11" ref="G1:H8" totalsRowCount="1">
  <autoFilter xmlns:etc="http://www.wps.cn/officeDocument/2017/etCustomData" ref="G1:H7" etc:filterBottomFollowUsedRange="0"/>
  <tableColumns count="2">
    <tableColumn id="1" name="Category" totalsRowLabel="Total"/>
    <tableColumn id="2" name="Total" dataDxfId="74" totalsRowFunction="sum">
      <calculatedColumnFormula>SUMIFS(operations[Amount],operations[Category],Expenses11[[#This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id="55" name="Table9162832364044485256" displayName="Table9162832364044485256" ref="J1:K12" totalsRowCount="1">
  <autoFilter xmlns:etc="http://www.wps.cn/officeDocument/2017/etCustomData" ref="J1:K11" etc:filterBottomFollowUsedRange="0"/>
  <tableColumns count="2">
    <tableColumn id="1" name="Category" totalsRowLabel="Total"/>
    <tableColumn id="2" name="Total" dataDxfId="75" totalsRowFunction="sum">
      <calculatedColumnFormula>SUMIFS(operations[Amount],operations[Category],Table9162832364044485256[[#This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id="56" name="balance_11" displayName="balance_11" ref="A14:B18" totalsRowCount="1">
  <autoFilter xmlns:etc="http://www.wps.cn/officeDocument/2017/etCustomData" ref="A14:B17" etc:filterBottomFollowUsedRange="0"/>
  <tableColumns count="2">
    <tableColumn id="1" name="Type" totalsRowLabel="Total"/>
    <tableColumn id="2" name="Total" dataDxfId="76" totalsRowFunction="sum">
      <calculatedColumnFormula>SUMIFS(operations[Amount],operations[Type],balance_11[[#This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id="57" name="raports_12" displayName="raports_12" ref="A1:E9" totalsRowCount="1">
  <autoFilter xmlns:etc="http://www.wps.cn/officeDocument/2017/etCustomData" ref="A1:E8" etc:filterBottomFollowUsedRange="0"/>
  <tableColumns count="5">
    <tableColumn id="1" name="Bank" totalsRowLabel="Total"/>
    <tableColumn id="2" name="Product"/>
    <tableColumn id="3" name="Opening balance" dataDxfId="77" totalsRowFunction="sum"/>
    <tableColumn id="4" name="Operation" dataDxfId="78" totalsRowFunction="sum">
      <calculatedColumnFormula>SUMIFS(operations[Amount],operations[Bank],raports_12[[#This Row],[Bank]],operations[Product],raports_12[[#This Row],[Product]],operations[Month],$B$12)</calculatedColumnFormula>
    </tableColumn>
    <tableColumn id="5" name="Closing balance" dataDxfId="79" totalsRowFunction="sum">
      <calculatedColumnFormula>raports_12[[#This Row],[Opening balance]]+raports_12[[#This Row],[Operation]]</calculatedColumnFormula>
    </tableColumn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id="58" name="Expenses12" displayName="Expenses12" ref="G1:H8" totalsRowCount="1">
  <autoFilter xmlns:etc="http://www.wps.cn/officeDocument/2017/etCustomData" ref="G1:H7" etc:filterBottomFollowUsedRange="0"/>
  <tableColumns count="2">
    <tableColumn id="1" name="Category" totalsRowLabel="Total"/>
    <tableColumn id="2" name="Total" dataDxfId="80" totalsRowFunction="sum">
      <calculatedColumnFormula>SUMIFS(operations[Amount],operations[Category],Expenses12[[#This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50.xml><?xml version="1.0" encoding="utf-8"?>
<table xmlns="http://schemas.openxmlformats.org/spreadsheetml/2006/main" id="59" name="Table916283236404448525660" displayName="Table916283236404448525660" ref="J1:K12" totalsRowCount="1">
  <autoFilter xmlns:etc="http://www.wps.cn/officeDocument/2017/etCustomData" ref="J1:K11" etc:filterBottomFollowUsedRange="0"/>
  <tableColumns count="2">
    <tableColumn id="1" name="Category" totalsRowLabel="Total"/>
    <tableColumn id="2" name="Total" dataDxfId="81" totalsRowFunction="sum">
      <calculatedColumnFormula>SUMIFS(operations[Amount],operations[Category],Table916283236404448525660[[#This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id="60" name="balance_12" displayName="balance_12" ref="A14:B18" totalsRowCount="1">
  <autoFilter xmlns:etc="http://www.wps.cn/officeDocument/2017/etCustomData" ref="A14:B17" etc:filterBottomFollowUsedRange="0"/>
  <tableColumns count="2">
    <tableColumn id="1" name="Type" totalsRowLabel="Total"/>
    <tableColumn id="2" name="Total" dataDxfId="82" totalsRowFunction="sum">
      <calculatedColumnFormula>SUMIFS(operations[Amount],operations[Type],balance_12[[#This Row],[Type]],operations[Month],'1'!$B$12)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table" Target="../tables/table7.xml"/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1.xml"/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5.xml"/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9.xml"/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8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3.xml"/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9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7.xml"/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10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1.xml"/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5.xml"/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12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9.xml"/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table" Target="../tables/table36.xml"/></Relationships>
</file>

<file path=xl/worksheets/_rels/sheet13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3.xml"/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table" Target="../tables/table40.xml"/></Relationships>
</file>

<file path=xl/worksheets/_rels/sheet14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7.xml"/><Relationship Id="rId3" Type="http://schemas.openxmlformats.org/officeDocument/2006/relationships/table" Target="../tables/table46.xml"/><Relationship Id="rId2" Type="http://schemas.openxmlformats.org/officeDocument/2006/relationships/table" Target="../tables/table45.xml"/><Relationship Id="rId1" Type="http://schemas.openxmlformats.org/officeDocument/2006/relationships/table" Target="../tables/table44.xml"/></Relationships>
</file>

<file path=xl/worksheets/_rels/sheet15.xml.rels><?xml version="1.0" encoding="UTF-8" standalone="yes"?>
<Relationships xmlns="http://schemas.openxmlformats.org/package/2006/relationships"><Relationship Id="rId4" Type="http://schemas.openxmlformats.org/officeDocument/2006/relationships/table" Target="../tables/table51.xml"/><Relationship Id="rId3" Type="http://schemas.openxmlformats.org/officeDocument/2006/relationships/table" Target="../tables/table50.xml"/><Relationship Id="rId2" Type="http://schemas.openxmlformats.org/officeDocument/2006/relationships/table" Target="../tables/table49.xml"/><Relationship Id="rId1" Type="http://schemas.openxmlformats.org/officeDocument/2006/relationships/table" Target="../tables/table4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workbookViewId="0">
      <selection activeCell="A1" sqref="A1"/>
    </sheetView>
  </sheetViews>
  <sheetFormatPr defaultColWidth="9" defaultRowHeight="14.4" outlineLevelCol="6"/>
  <cols>
    <col min="1" max="1" width="11.8888888888889" customWidth="1"/>
    <col min="2" max="2" width="9" customWidth="1"/>
    <col min="3" max="3" width="10.8888888888889" customWidth="1"/>
    <col min="4" max="4" width="18" customWidth="1"/>
    <col min="5" max="6" width="11.3333333333333" customWidth="1"/>
    <col min="7" max="7" width="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>
        <v>-1500</v>
      </c>
      <c r="B2" s="1" t="s">
        <v>7</v>
      </c>
      <c r="C2" s="1" t="s">
        <v>8</v>
      </c>
      <c r="D2" s="1" t="s">
        <v>9</v>
      </c>
      <c r="E2" s="1" t="s">
        <v>10</v>
      </c>
      <c r="F2" s="5">
        <v>45296</v>
      </c>
      <c r="G2" s="1">
        <v>1</v>
      </c>
    </row>
    <row r="3" spans="1:7">
      <c r="A3" s="4">
        <v>4500</v>
      </c>
      <c r="B3" s="1" t="s">
        <v>7</v>
      </c>
      <c r="C3" s="1" t="s">
        <v>8</v>
      </c>
      <c r="D3" s="1" t="s">
        <v>11</v>
      </c>
      <c r="E3" s="1" t="s">
        <v>12</v>
      </c>
      <c r="F3" s="5">
        <v>45301</v>
      </c>
      <c r="G3" s="1">
        <v>1</v>
      </c>
    </row>
    <row r="4" spans="1:7">
      <c r="A4" s="4">
        <v>-2000</v>
      </c>
      <c r="B4" s="1" t="s">
        <v>7</v>
      </c>
      <c r="C4" s="1" t="s">
        <v>8</v>
      </c>
      <c r="D4" s="1" t="s">
        <v>13</v>
      </c>
      <c r="E4" s="1" t="s">
        <v>10</v>
      </c>
      <c r="F4" s="5">
        <v>45302</v>
      </c>
      <c r="G4" s="1">
        <v>1</v>
      </c>
    </row>
    <row r="5" spans="1:7">
      <c r="A5" s="4">
        <v>-45</v>
      </c>
      <c r="B5" s="1" t="s">
        <v>14</v>
      </c>
      <c r="C5" s="1" t="s">
        <v>8</v>
      </c>
      <c r="D5" s="1" t="s">
        <v>9</v>
      </c>
      <c r="E5" s="1" t="s">
        <v>10</v>
      </c>
      <c r="F5" s="5">
        <v>45305</v>
      </c>
      <c r="G5" s="1">
        <v>1</v>
      </c>
    </row>
    <row r="6" spans="1:7">
      <c r="A6" s="4">
        <v>-150</v>
      </c>
      <c r="B6" s="1" t="s">
        <v>7</v>
      </c>
      <c r="C6" s="1" t="s">
        <v>15</v>
      </c>
      <c r="D6" s="1" t="s">
        <v>16</v>
      </c>
      <c r="E6" s="1" t="s">
        <v>10</v>
      </c>
      <c r="F6" s="5">
        <v>45306</v>
      </c>
      <c r="G6" s="1">
        <v>1</v>
      </c>
    </row>
    <row r="7" spans="1:7">
      <c r="A7" s="4">
        <v>-120</v>
      </c>
      <c r="B7" s="1" t="s">
        <v>7</v>
      </c>
      <c r="C7" s="1" t="s">
        <v>8</v>
      </c>
      <c r="D7" s="1" t="s">
        <v>9</v>
      </c>
      <c r="E7" s="1" t="s">
        <v>10</v>
      </c>
      <c r="F7" s="5">
        <v>45307</v>
      </c>
      <c r="G7" s="1">
        <v>1</v>
      </c>
    </row>
    <row r="8" spans="1:7">
      <c r="A8" s="4">
        <v>500</v>
      </c>
      <c r="B8" s="1" t="s">
        <v>7</v>
      </c>
      <c r="C8" s="1" t="s">
        <v>8</v>
      </c>
      <c r="D8" s="1" t="s">
        <v>17</v>
      </c>
      <c r="E8" s="1" t="s">
        <v>12</v>
      </c>
      <c r="F8" s="5">
        <v>45308</v>
      </c>
      <c r="G8" s="1">
        <v>1</v>
      </c>
    </row>
    <row r="9" spans="1:7">
      <c r="A9" s="4">
        <v>-500</v>
      </c>
      <c r="B9" s="1" t="s">
        <v>7</v>
      </c>
      <c r="C9" s="1" t="s">
        <v>18</v>
      </c>
      <c r="D9" s="1" t="s">
        <v>19</v>
      </c>
      <c r="E9" s="1" t="s">
        <v>10</v>
      </c>
      <c r="F9" s="5">
        <v>45308</v>
      </c>
      <c r="G9" s="1">
        <v>1</v>
      </c>
    </row>
    <row r="10" spans="1:7">
      <c r="A10" s="4">
        <v>250</v>
      </c>
      <c r="B10" s="1" t="s">
        <v>14</v>
      </c>
      <c r="C10" s="1" t="s">
        <v>20</v>
      </c>
      <c r="D10" s="1" t="s">
        <v>21</v>
      </c>
      <c r="E10" s="1" t="s">
        <v>12</v>
      </c>
      <c r="F10" s="5">
        <v>45308</v>
      </c>
      <c r="G10" s="1">
        <v>1</v>
      </c>
    </row>
    <row r="11" spans="1:7">
      <c r="A11" s="4">
        <v>-25</v>
      </c>
      <c r="B11" s="1" t="s">
        <v>7</v>
      </c>
      <c r="C11" s="1" t="s">
        <v>15</v>
      </c>
      <c r="D11" s="1" t="s">
        <v>22</v>
      </c>
      <c r="E11" s="1" t="s">
        <v>10</v>
      </c>
      <c r="F11" s="5">
        <v>45310</v>
      </c>
      <c r="G11" s="1">
        <v>1</v>
      </c>
    </row>
    <row r="12" spans="1:7">
      <c r="A12" s="4">
        <v>-80</v>
      </c>
      <c r="B12" s="1" t="s">
        <v>7</v>
      </c>
      <c r="C12" s="1" t="s">
        <v>8</v>
      </c>
      <c r="D12" s="1" t="s">
        <v>23</v>
      </c>
      <c r="E12" s="1" t="s">
        <v>10</v>
      </c>
      <c r="F12" s="5">
        <v>45311</v>
      </c>
      <c r="G12" s="1">
        <v>1</v>
      </c>
    </row>
    <row r="13" spans="1:7">
      <c r="A13" s="4">
        <v>150</v>
      </c>
      <c r="B13" s="1" t="s">
        <v>14</v>
      </c>
      <c r="C13" s="1" t="s">
        <v>8</v>
      </c>
      <c r="D13" s="1" t="s">
        <v>17</v>
      </c>
      <c r="E13" s="1" t="s">
        <v>12</v>
      </c>
      <c r="F13" s="5">
        <v>45312</v>
      </c>
      <c r="G13" s="1">
        <v>1</v>
      </c>
    </row>
    <row r="14" spans="1:7">
      <c r="A14" s="4">
        <v>-80</v>
      </c>
      <c r="B14" s="1" t="s">
        <v>14</v>
      </c>
      <c r="C14" s="1" t="s">
        <v>8</v>
      </c>
      <c r="D14" s="1" t="s">
        <v>24</v>
      </c>
      <c r="E14" s="1" t="s">
        <v>10</v>
      </c>
      <c r="F14" s="5">
        <v>45313</v>
      </c>
      <c r="G14" s="1">
        <v>1</v>
      </c>
    </row>
    <row r="15" spans="1:7">
      <c r="A15" s="4">
        <v>-60</v>
      </c>
      <c r="B15" s="1" t="s">
        <v>14</v>
      </c>
      <c r="C15" s="1" t="s">
        <v>8</v>
      </c>
      <c r="D15" s="1" t="s">
        <v>22</v>
      </c>
      <c r="E15" s="1" t="s">
        <v>10</v>
      </c>
      <c r="F15" s="5">
        <v>45314</v>
      </c>
      <c r="G15" s="1">
        <v>1</v>
      </c>
    </row>
    <row r="16" spans="1:7">
      <c r="A16" s="4">
        <v>-100</v>
      </c>
      <c r="B16" s="1" t="s">
        <v>7</v>
      </c>
      <c r="C16" s="1" t="s">
        <v>8</v>
      </c>
      <c r="D16" s="1" t="s">
        <v>25</v>
      </c>
      <c r="E16" s="1" t="s">
        <v>10</v>
      </c>
      <c r="F16" s="5">
        <v>45315</v>
      </c>
      <c r="G16" s="1">
        <v>1</v>
      </c>
    </row>
    <row r="17" spans="1:7">
      <c r="A17" s="4">
        <v>-50</v>
      </c>
      <c r="B17" s="1" t="s">
        <v>26</v>
      </c>
      <c r="C17" s="1" t="s">
        <v>27</v>
      </c>
      <c r="D17" s="1" t="s">
        <v>9</v>
      </c>
      <c r="E17" s="1" t="s">
        <v>10</v>
      </c>
      <c r="F17" s="5">
        <v>45316</v>
      </c>
      <c r="G17" s="1">
        <v>1</v>
      </c>
    </row>
    <row r="18" spans="1:7">
      <c r="A18" s="4">
        <v>150</v>
      </c>
      <c r="B18" s="1" t="s">
        <v>26</v>
      </c>
      <c r="C18" s="1" t="s">
        <v>28</v>
      </c>
      <c r="D18" s="1" t="s">
        <v>17</v>
      </c>
      <c r="E18" s="1" t="s">
        <v>12</v>
      </c>
      <c r="F18" s="5">
        <v>45316</v>
      </c>
      <c r="G18" s="1">
        <v>1</v>
      </c>
    </row>
    <row r="19" spans="1:7">
      <c r="A19" s="4">
        <v>5.5</v>
      </c>
      <c r="B19" s="1" t="s">
        <v>14</v>
      </c>
      <c r="C19" s="1" t="s">
        <v>20</v>
      </c>
      <c r="D19" s="1" t="s">
        <v>29</v>
      </c>
      <c r="E19" s="1" t="s">
        <v>12</v>
      </c>
      <c r="F19" s="5">
        <v>45317</v>
      </c>
      <c r="G19" s="1">
        <v>1</v>
      </c>
    </row>
    <row r="20" spans="1:7">
      <c r="A20" s="4">
        <v>100</v>
      </c>
      <c r="B20" s="1" t="s">
        <v>7</v>
      </c>
      <c r="C20" s="1" t="s">
        <v>18</v>
      </c>
      <c r="D20" s="1" t="s">
        <v>29</v>
      </c>
      <c r="E20" s="1" t="s">
        <v>12</v>
      </c>
      <c r="F20" s="5">
        <v>45318</v>
      </c>
      <c r="G20" s="1">
        <v>1</v>
      </c>
    </row>
    <row r="21" spans="1:7">
      <c r="A21" s="4">
        <v>-100</v>
      </c>
      <c r="B21" s="1" t="s">
        <v>7</v>
      </c>
      <c r="C21" s="1" t="s">
        <v>8</v>
      </c>
      <c r="D21" s="1" t="s">
        <v>30</v>
      </c>
      <c r="E21" s="1" t="s">
        <v>10</v>
      </c>
      <c r="F21" s="5">
        <v>45319</v>
      </c>
      <c r="G21" s="1">
        <v>1</v>
      </c>
    </row>
    <row r="22" spans="1:7">
      <c r="A22" s="4">
        <v>200</v>
      </c>
      <c r="B22" s="1" t="s">
        <v>14</v>
      </c>
      <c r="C22" s="1" t="s">
        <v>8</v>
      </c>
      <c r="D22" s="1" t="s">
        <v>17</v>
      </c>
      <c r="E22" s="1" t="s">
        <v>12</v>
      </c>
      <c r="F22" s="5">
        <v>45324</v>
      </c>
      <c r="G22" s="1">
        <v>2</v>
      </c>
    </row>
    <row r="23" spans="1:7">
      <c r="A23" s="4">
        <v>-15</v>
      </c>
      <c r="B23" s="1" t="s">
        <v>14</v>
      </c>
      <c r="C23" s="1" t="s">
        <v>8</v>
      </c>
      <c r="D23" s="1" t="s">
        <v>19</v>
      </c>
      <c r="E23" s="1" t="s">
        <v>10</v>
      </c>
      <c r="F23" s="5">
        <v>45326</v>
      </c>
      <c r="G23" s="1">
        <v>2</v>
      </c>
    </row>
    <row r="24" spans="1:7">
      <c r="A24" s="4">
        <v>-5.5</v>
      </c>
      <c r="B24" s="1" t="s">
        <v>7</v>
      </c>
      <c r="C24" s="1" t="s">
        <v>8</v>
      </c>
      <c r="D24" s="1" t="s">
        <v>9</v>
      </c>
      <c r="E24" s="1" t="s">
        <v>10</v>
      </c>
      <c r="F24" s="5">
        <v>45328</v>
      </c>
      <c r="G24" s="1">
        <v>2</v>
      </c>
    </row>
    <row r="25" spans="1:7">
      <c r="A25" s="4">
        <v>4500</v>
      </c>
      <c r="B25" s="1" t="s">
        <v>7</v>
      </c>
      <c r="C25" s="1" t="s">
        <v>8</v>
      </c>
      <c r="D25" s="1" t="s">
        <v>11</v>
      </c>
      <c r="E25" s="1" t="s">
        <v>12</v>
      </c>
      <c r="F25" s="5">
        <v>45332</v>
      </c>
      <c r="G25" s="1">
        <v>2</v>
      </c>
    </row>
    <row r="26" spans="1:7">
      <c r="A26" s="4">
        <v>-2000</v>
      </c>
      <c r="B26" s="1" t="s">
        <v>7</v>
      </c>
      <c r="C26" s="1" t="s">
        <v>8</v>
      </c>
      <c r="D26" s="1" t="s">
        <v>13</v>
      </c>
      <c r="E26" s="1" t="s">
        <v>10</v>
      </c>
      <c r="F26" s="5">
        <v>45333</v>
      </c>
      <c r="G26" s="1">
        <v>2</v>
      </c>
    </row>
    <row r="27" spans="1:7">
      <c r="A27" s="4">
        <v>-150</v>
      </c>
      <c r="B27" s="1" t="s">
        <v>7</v>
      </c>
      <c r="C27" s="1" t="s">
        <v>8</v>
      </c>
      <c r="D27" s="1" t="s">
        <v>22</v>
      </c>
      <c r="E27" s="1" t="s">
        <v>10</v>
      </c>
      <c r="F27" s="5">
        <v>45335</v>
      </c>
      <c r="G27" s="1">
        <v>2</v>
      </c>
    </row>
    <row r="28" spans="1:7">
      <c r="A28" s="4">
        <v>500</v>
      </c>
      <c r="B28" s="1" t="s">
        <v>7</v>
      </c>
      <c r="C28" s="1" t="s">
        <v>8</v>
      </c>
      <c r="D28" s="1" t="s">
        <v>17</v>
      </c>
      <c r="E28" s="1" t="s">
        <v>12</v>
      </c>
      <c r="F28" s="5">
        <v>45336</v>
      </c>
      <c r="G28" s="1">
        <v>2</v>
      </c>
    </row>
    <row r="29" spans="1:7">
      <c r="A29" s="4">
        <v>-300</v>
      </c>
      <c r="B29" s="1" t="s">
        <v>7</v>
      </c>
      <c r="C29" s="1" t="s">
        <v>8</v>
      </c>
      <c r="D29" s="1" t="s">
        <v>9</v>
      </c>
      <c r="E29" s="1" t="s">
        <v>10</v>
      </c>
      <c r="F29" s="5">
        <v>45336</v>
      </c>
      <c r="G29" s="1">
        <v>2</v>
      </c>
    </row>
    <row r="30" spans="1:7">
      <c r="A30" s="4">
        <v>-500</v>
      </c>
      <c r="B30" s="1" t="s">
        <v>7</v>
      </c>
      <c r="C30" s="1" t="s">
        <v>18</v>
      </c>
      <c r="D30" s="1" t="s">
        <v>19</v>
      </c>
      <c r="E30" s="1" t="s">
        <v>10</v>
      </c>
      <c r="F30" s="5">
        <v>45336</v>
      </c>
      <c r="G30" s="1">
        <v>2</v>
      </c>
    </row>
    <row r="31" spans="1:7">
      <c r="A31" s="4">
        <v>-200</v>
      </c>
      <c r="B31" s="1" t="s">
        <v>26</v>
      </c>
      <c r="C31" s="1" t="s">
        <v>28</v>
      </c>
      <c r="D31" s="1" t="s">
        <v>19</v>
      </c>
      <c r="E31" s="1" t="s">
        <v>10</v>
      </c>
      <c r="F31" s="5">
        <v>45336</v>
      </c>
      <c r="G31" s="1">
        <v>2</v>
      </c>
    </row>
    <row r="32" spans="1:7">
      <c r="A32" s="4">
        <v>175</v>
      </c>
      <c r="B32" s="1" t="s">
        <v>7</v>
      </c>
      <c r="C32" s="1" t="s">
        <v>15</v>
      </c>
      <c r="D32" s="1" t="s">
        <v>31</v>
      </c>
      <c r="E32" s="1" t="s">
        <v>32</v>
      </c>
      <c r="F32" s="5">
        <v>45337</v>
      </c>
      <c r="G32" s="1">
        <v>2</v>
      </c>
    </row>
    <row r="33" spans="1:7">
      <c r="A33" s="4">
        <v>-175</v>
      </c>
      <c r="B33" s="1" t="s">
        <v>7</v>
      </c>
      <c r="C33" s="1" t="s">
        <v>8</v>
      </c>
      <c r="D33" s="1" t="s">
        <v>31</v>
      </c>
      <c r="E33" s="1" t="s">
        <v>32</v>
      </c>
      <c r="F33" s="5">
        <v>45337</v>
      </c>
      <c r="G33" s="1">
        <v>2</v>
      </c>
    </row>
    <row r="34" spans="1:7">
      <c r="A34" s="4">
        <v>-100</v>
      </c>
      <c r="B34" s="1" t="s">
        <v>7</v>
      </c>
      <c r="C34" s="1" t="s">
        <v>8</v>
      </c>
      <c r="D34" s="1" t="s">
        <v>25</v>
      </c>
      <c r="E34" s="1" t="s">
        <v>10</v>
      </c>
      <c r="F34" s="5">
        <v>45339</v>
      </c>
      <c r="G34" s="1">
        <v>2</v>
      </c>
    </row>
    <row r="35" spans="1:7">
      <c r="A35" s="4">
        <v>-80</v>
      </c>
      <c r="B35" s="1" t="s">
        <v>7</v>
      </c>
      <c r="C35" s="1" t="s">
        <v>8</v>
      </c>
      <c r="D35" s="1" t="s">
        <v>23</v>
      </c>
      <c r="E35" s="1" t="s">
        <v>10</v>
      </c>
      <c r="F35" s="5">
        <v>45342</v>
      </c>
      <c r="G35" s="1">
        <v>2</v>
      </c>
    </row>
    <row r="36" spans="1:7">
      <c r="A36" s="4">
        <v>150</v>
      </c>
      <c r="B36" s="1" t="s">
        <v>26</v>
      </c>
      <c r="C36" s="1" t="s">
        <v>28</v>
      </c>
      <c r="D36" s="1" t="s">
        <v>17</v>
      </c>
      <c r="E36" s="1" t="s">
        <v>12</v>
      </c>
      <c r="F36" s="5">
        <v>45344</v>
      </c>
      <c r="G36" s="1">
        <v>2</v>
      </c>
    </row>
    <row r="37" spans="1:7">
      <c r="A37" s="4">
        <v>100</v>
      </c>
      <c r="B37" s="1" t="s">
        <v>26</v>
      </c>
      <c r="C37" s="1" t="s">
        <v>27</v>
      </c>
      <c r="D37" s="1" t="s">
        <v>17</v>
      </c>
      <c r="E37" s="1" t="s">
        <v>12</v>
      </c>
      <c r="F37" s="5">
        <v>45345</v>
      </c>
      <c r="G37" s="1">
        <v>2</v>
      </c>
    </row>
    <row r="38" spans="1:7">
      <c r="A38" s="4">
        <v>-200</v>
      </c>
      <c r="B38" s="1" t="s">
        <v>26</v>
      </c>
      <c r="C38" s="1" t="s">
        <v>28</v>
      </c>
      <c r="D38" s="1" t="s">
        <v>22</v>
      </c>
      <c r="E38" s="1" t="s">
        <v>10</v>
      </c>
      <c r="F38" s="5">
        <v>45346</v>
      </c>
      <c r="G38" s="1">
        <v>2</v>
      </c>
    </row>
    <row r="39" spans="1:7">
      <c r="A39" s="4">
        <v>1000</v>
      </c>
      <c r="B39" s="1" t="s">
        <v>26</v>
      </c>
      <c r="C39" s="1" t="s">
        <v>28</v>
      </c>
      <c r="D39" s="1" t="s">
        <v>17</v>
      </c>
      <c r="E39" s="1" t="s">
        <v>12</v>
      </c>
      <c r="F39" s="5">
        <v>45347</v>
      </c>
      <c r="G39" s="1">
        <v>2</v>
      </c>
    </row>
    <row r="40" spans="1:7">
      <c r="A40" s="4">
        <v>-250</v>
      </c>
      <c r="B40" s="1" t="s">
        <v>26</v>
      </c>
      <c r="C40" s="1" t="s">
        <v>28</v>
      </c>
      <c r="D40" s="1" t="s">
        <v>30</v>
      </c>
      <c r="E40" s="1" t="s">
        <v>10</v>
      </c>
      <c r="F40" s="5">
        <v>45347</v>
      </c>
      <c r="G40" s="1">
        <v>2</v>
      </c>
    </row>
    <row r="41" spans="1:7">
      <c r="A41" s="4">
        <v>-100</v>
      </c>
      <c r="B41" s="1" t="s">
        <v>14</v>
      </c>
      <c r="C41" s="1" t="s">
        <v>8</v>
      </c>
      <c r="D41" s="1" t="s">
        <v>9</v>
      </c>
      <c r="E41" s="1" t="s">
        <v>10</v>
      </c>
      <c r="F41" s="5">
        <v>45348</v>
      </c>
      <c r="G41" s="1">
        <v>2</v>
      </c>
    </row>
    <row r="42" spans="1:7">
      <c r="A42" s="4">
        <v>-50</v>
      </c>
      <c r="B42" s="1" t="s">
        <v>14</v>
      </c>
      <c r="C42" s="1" t="s">
        <v>8</v>
      </c>
      <c r="D42" s="1" t="s">
        <v>19</v>
      </c>
      <c r="E42" s="1" t="s">
        <v>10</v>
      </c>
      <c r="F42" s="5">
        <v>45348</v>
      </c>
      <c r="G42" s="1">
        <v>2</v>
      </c>
    </row>
    <row r="43" spans="1:7">
      <c r="A43" s="4">
        <v>15</v>
      </c>
      <c r="B43" s="1" t="s">
        <v>14</v>
      </c>
      <c r="C43" s="1" t="s">
        <v>20</v>
      </c>
      <c r="D43" s="1" t="s">
        <v>29</v>
      </c>
      <c r="E43" s="1" t="s">
        <v>12</v>
      </c>
      <c r="F43" s="5">
        <v>45349</v>
      </c>
      <c r="G43" s="1">
        <v>2</v>
      </c>
    </row>
    <row r="44" spans="1:7">
      <c r="A44" s="4">
        <v>-150</v>
      </c>
      <c r="B44" s="1" t="s">
        <v>7</v>
      </c>
      <c r="C44" s="1" t="s">
        <v>8</v>
      </c>
      <c r="D44" s="1" t="s">
        <v>16</v>
      </c>
      <c r="E44" s="1" t="s">
        <v>10</v>
      </c>
      <c r="F44" s="5">
        <v>45350</v>
      </c>
      <c r="G44" s="1">
        <v>2</v>
      </c>
    </row>
    <row r="45" spans="1:7">
      <c r="A45" s="4">
        <v>100</v>
      </c>
      <c r="B45" s="1" t="s">
        <v>7</v>
      </c>
      <c r="C45" s="1" t="s">
        <v>18</v>
      </c>
      <c r="D45" s="1" t="s">
        <v>29</v>
      </c>
      <c r="E45" s="1" t="s">
        <v>12</v>
      </c>
      <c r="F45" s="5">
        <v>45350</v>
      </c>
      <c r="G45" s="1">
        <v>2</v>
      </c>
    </row>
    <row r="46" spans="1:7">
      <c r="A46" s="4">
        <v>-25</v>
      </c>
      <c r="B46" s="1" t="s">
        <v>7</v>
      </c>
      <c r="C46" s="1" t="s">
        <v>15</v>
      </c>
      <c r="D46" s="1" t="s">
        <v>9</v>
      </c>
      <c r="E46" s="1" t="s">
        <v>10</v>
      </c>
      <c r="F46" s="5">
        <v>45352</v>
      </c>
      <c r="G46" s="1">
        <v>3</v>
      </c>
    </row>
    <row r="47" spans="1:7">
      <c r="A47" s="4">
        <v>-135.5</v>
      </c>
      <c r="B47" s="1" t="s">
        <v>7</v>
      </c>
      <c r="C47" s="1" t="s">
        <v>8</v>
      </c>
      <c r="D47" s="1" t="s">
        <v>9</v>
      </c>
      <c r="E47" s="1" t="s">
        <v>10</v>
      </c>
      <c r="F47" s="5">
        <v>45353</v>
      </c>
      <c r="G47" s="1">
        <v>3</v>
      </c>
    </row>
    <row r="48" spans="1:7">
      <c r="A48" s="4">
        <v>-82.5</v>
      </c>
      <c r="B48" s="1" t="s">
        <v>14</v>
      </c>
      <c r="C48" s="1" t="s">
        <v>8</v>
      </c>
      <c r="D48" s="1" t="s">
        <v>23</v>
      </c>
      <c r="E48" s="1" t="s">
        <v>10</v>
      </c>
      <c r="F48" s="5">
        <v>45353</v>
      </c>
      <c r="G48" s="1">
        <v>3</v>
      </c>
    </row>
    <row r="49" spans="1:7">
      <c r="A49" s="4">
        <v>-200</v>
      </c>
      <c r="B49" s="1" t="s">
        <v>7</v>
      </c>
      <c r="C49" s="1" t="s">
        <v>8</v>
      </c>
      <c r="D49" s="1" t="s">
        <v>22</v>
      </c>
      <c r="E49" s="1" t="s">
        <v>10</v>
      </c>
      <c r="F49" s="5">
        <v>45355</v>
      </c>
      <c r="G49" s="1">
        <v>3</v>
      </c>
    </row>
    <row r="50" spans="1:7">
      <c r="A50" s="4">
        <v>150</v>
      </c>
      <c r="B50" s="1" t="s">
        <v>14</v>
      </c>
      <c r="C50" s="1" t="s">
        <v>8</v>
      </c>
      <c r="D50" s="1" t="s">
        <v>29</v>
      </c>
      <c r="E50" s="1" t="s">
        <v>12</v>
      </c>
      <c r="F50" s="5">
        <v>45357</v>
      </c>
      <c r="G50" s="1">
        <v>3</v>
      </c>
    </row>
    <row r="51" spans="1:7">
      <c r="A51" s="4">
        <v>-24.49</v>
      </c>
      <c r="B51" s="1" t="s">
        <v>26</v>
      </c>
      <c r="C51" s="1" t="s">
        <v>27</v>
      </c>
      <c r="D51" s="1" t="s">
        <v>9</v>
      </c>
      <c r="E51" s="1" t="s">
        <v>10</v>
      </c>
      <c r="F51" s="5">
        <v>45359</v>
      </c>
      <c r="G51" s="1">
        <v>3</v>
      </c>
    </row>
    <row r="52" spans="1:7">
      <c r="A52" s="4">
        <v>4500</v>
      </c>
      <c r="B52" s="1" t="s">
        <v>7</v>
      </c>
      <c r="C52" s="1" t="s">
        <v>8</v>
      </c>
      <c r="D52" s="1" t="s">
        <v>11</v>
      </c>
      <c r="E52" s="1" t="s">
        <v>12</v>
      </c>
      <c r="F52" s="5">
        <v>45361</v>
      </c>
      <c r="G52" s="1">
        <v>3</v>
      </c>
    </row>
    <row r="53" spans="1:7">
      <c r="A53" s="4">
        <v>-2000</v>
      </c>
      <c r="B53" s="1" t="s">
        <v>7</v>
      </c>
      <c r="C53" s="1" t="s">
        <v>8</v>
      </c>
      <c r="D53" s="1" t="s">
        <v>13</v>
      </c>
      <c r="E53" s="1" t="s">
        <v>10</v>
      </c>
      <c r="F53" s="5">
        <v>45362</v>
      </c>
      <c r="G53" s="1">
        <v>3</v>
      </c>
    </row>
    <row r="54" spans="1:7">
      <c r="A54" s="4">
        <v>-200</v>
      </c>
      <c r="B54" s="1" t="s">
        <v>7</v>
      </c>
      <c r="C54" s="1" t="s">
        <v>8</v>
      </c>
      <c r="D54" s="1" t="s">
        <v>9</v>
      </c>
      <c r="E54" s="1" t="s">
        <v>10</v>
      </c>
      <c r="F54" s="5">
        <v>45363</v>
      </c>
      <c r="G54" s="1">
        <v>3</v>
      </c>
    </row>
    <row r="55" spans="1:7">
      <c r="A55" s="4">
        <v>-469.9</v>
      </c>
      <c r="B55" s="1" t="s">
        <v>7</v>
      </c>
      <c r="C55" s="1" t="s">
        <v>8</v>
      </c>
      <c r="D55" s="1" t="s">
        <v>24</v>
      </c>
      <c r="E55" s="1" t="s">
        <v>10</v>
      </c>
      <c r="F55" s="5">
        <v>45364</v>
      </c>
      <c r="G55" s="1">
        <v>3</v>
      </c>
    </row>
    <row r="56" spans="1:7">
      <c r="A56" s="4">
        <v>-9.5</v>
      </c>
      <c r="B56" s="1" t="s">
        <v>26</v>
      </c>
      <c r="C56" s="1" t="s">
        <v>28</v>
      </c>
      <c r="D56" s="1" t="s">
        <v>30</v>
      </c>
      <c r="E56" s="1" t="s">
        <v>10</v>
      </c>
      <c r="F56" s="5">
        <v>45368</v>
      </c>
      <c r="G56" s="1">
        <v>3</v>
      </c>
    </row>
    <row r="57" spans="1:7">
      <c r="A57" s="4">
        <v>-23</v>
      </c>
      <c r="B57" s="1" t="s">
        <v>7</v>
      </c>
      <c r="C57" s="1" t="s">
        <v>8</v>
      </c>
      <c r="D57" s="1" t="s">
        <v>16</v>
      </c>
      <c r="E57" s="1" t="s">
        <v>10</v>
      </c>
      <c r="F57" s="5">
        <v>45371</v>
      </c>
      <c r="G57" s="1">
        <v>3</v>
      </c>
    </row>
    <row r="58" spans="1:7">
      <c r="A58" s="4">
        <v>-150</v>
      </c>
      <c r="B58" s="1" t="s">
        <v>7</v>
      </c>
      <c r="C58" s="1" t="s">
        <v>8</v>
      </c>
      <c r="D58" s="1" t="s">
        <v>9</v>
      </c>
      <c r="E58" s="1" t="s">
        <v>10</v>
      </c>
      <c r="F58" s="5">
        <v>45373</v>
      </c>
      <c r="G58" s="1">
        <v>3</v>
      </c>
    </row>
    <row r="59" spans="1:7">
      <c r="A59" s="4">
        <v>-300</v>
      </c>
      <c r="B59" s="1" t="s">
        <v>7</v>
      </c>
      <c r="C59" s="1" t="s">
        <v>8</v>
      </c>
      <c r="D59" s="1" t="s">
        <v>19</v>
      </c>
      <c r="E59" s="1" t="s">
        <v>10</v>
      </c>
      <c r="F59" s="5">
        <v>45375</v>
      </c>
      <c r="G59" s="1">
        <v>3</v>
      </c>
    </row>
    <row r="60" spans="1:7">
      <c r="A60" s="4">
        <v>5</v>
      </c>
      <c r="B60" s="1" t="s">
        <v>14</v>
      </c>
      <c r="C60" s="1" t="s">
        <v>20</v>
      </c>
      <c r="D60" s="1" t="s">
        <v>33</v>
      </c>
      <c r="E60" s="1" t="s">
        <v>12</v>
      </c>
      <c r="F60" s="5">
        <v>45377</v>
      </c>
      <c r="G60" s="1">
        <v>3</v>
      </c>
    </row>
    <row r="61" spans="1:7">
      <c r="A61" s="4">
        <v>-79.5</v>
      </c>
      <c r="B61" s="1" t="s">
        <v>7</v>
      </c>
      <c r="C61" s="1" t="s">
        <v>15</v>
      </c>
      <c r="D61" s="1" t="s">
        <v>25</v>
      </c>
      <c r="E61" s="1" t="s">
        <v>10</v>
      </c>
      <c r="F61" s="5">
        <v>45379</v>
      </c>
      <c r="G61" s="1">
        <v>3</v>
      </c>
    </row>
    <row r="62" spans="1:7">
      <c r="A62" s="4">
        <v>-200</v>
      </c>
      <c r="B62" s="1" t="s">
        <v>7</v>
      </c>
      <c r="C62" s="1" t="s">
        <v>8</v>
      </c>
      <c r="D62" s="1" t="s">
        <v>9</v>
      </c>
      <c r="E62" s="1" t="s">
        <v>10</v>
      </c>
      <c r="F62" s="5">
        <v>45381</v>
      </c>
      <c r="G62" s="1">
        <v>3</v>
      </c>
    </row>
    <row r="63" spans="1:7">
      <c r="A63" s="4">
        <v>-23.5</v>
      </c>
      <c r="B63" s="1" t="s">
        <v>7</v>
      </c>
      <c r="C63" s="1" t="s">
        <v>15</v>
      </c>
      <c r="D63" s="1" t="s">
        <v>30</v>
      </c>
      <c r="E63" s="1" t="s">
        <v>10</v>
      </c>
      <c r="F63" s="5">
        <v>45383</v>
      </c>
      <c r="G63" s="1">
        <v>4</v>
      </c>
    </row>
    <row r="64" spans="1:7">
      <c r="A64" s="4">
        <v>-82.5</v>
      </c>
      <c r="B64" s="1" t="s">
        <v>7</v>
      </c>
      <c r="C64" s="1" t="s">
        <v>8</v>
      </c>
      <c r="D64" s="1" t="s">
        <v>23</v>
      </c>
      <c r="E64" s="1" t="s">
        <v>10</v>
      </c>
      <c r="F64" s="5">
        <v>45384</v>
      </c>
      <c r="G64" s="1">
        <v>4</v>
      </c>
    </row>
    <row r="65" spans="1:7">
      <c r="A65" s="4">
        <v>150</v>
      </c>
      <c r="B65" s="1" t="s">
        <v>14</v>
      </c>
      <c r="C65" s="1" t="s">
        <v>8</v>
      </c>
      <c r="D65" s="1" t="s">
        <v>29</v>
      </c>
      <c r="E65" s="1" t="s">
        <v>12</v>
      </c>
      <c r="F65" s="5">
        <v>45388</v>
      </c>
      <c r="G65" s="1">
        <v>4</v>
      </c>
    </row>
    <row r="66" spans="1:7">
      <c r="A66" s="4">
        <v>-99.97</v>
      </c>
      <c r="B66" s="1" t="s">
        <v>7</v>
      </c>
      <c r="C66" s="1" t="s">
        <v>8</v>
      </c>
      <c r="D66" s="1" t="s">
        <v>9</v>
      </c>
      <c r="E66" s="1" t="s">
        <v>10</v>
      </c>
      <c r="F66" s="5">
        <v>45389</v>
      </c>
      <c r="G66" s="1">
        <v>4</v>
      </c>
    </row>
    <row r="67" spans="1:7">
      <c r="A67" s="4">
        <v>4500</v>
      </c>
      <c r="B67" s="1" t="s">
        <v>7</v>
      </c>
      <c r="C67" s="1" t="s">
        <v>8</v>
      </c>
      <c r="D67" s="1" t="s">
        <v>11</v>
      </c>
      <c r="E67" s="1" t="s">
        <v>12</v>
      </c>
      <c r="F67" s="5">
        <v>45392</v>
      </c>
      <c r="G67" s="1">
        <v>4</v>
      </c>
    </row>
    <row r="68" spans="1:7">
      <c r="A68" s="4">
        <v>-2000</v>
      </c>
      <c r="B68" s="1" t="s">
        <v>7</v>
      </c>
      <c r="C68" s="1" t="s">
        <v>8</v>
      </c>
      <c r="D68" s="1" t="s">
        <v>13</v>
      </c>
      <c r="E68" s="1" t="s">
        <v>10</v>
      </c>
      <c r="F68" s="5">
        <v>45393</v>
      </c>
      <c r="G68" s="1">
        <v>4</v>
      </c>
    </row>
    <row r="69" spans="1:7">
      <c r="A69" s="4">
        <v>-149</v>
      </c>
      <c r="B69" s="1" t="s">
        <v>7</v>
      </c>
      <c r="C69" s="1" t="s">
        <v>8</v>
      </c>
      <c r="D69" s="1" t="s">
        <v>24</v>
      </c>
      <c r="E69" s="1" t="s">
        <v>10</v>
      </c>
      <c r="F69" s="5">
        <v>45395</v>
      </c>
      <c r="G69" s="1">
        <v>4</v>
      </c>
    </row>
    <row r="70" spans="1:7">
      <c r="A70" s="4">
        <v>104.5</v>
      </c>
      <c r="B70" s="1" t="s">
        <v>7</v>
      </c>
      <c r="C70" s="1" t="s">
        <v>15</v>
      </c>
      <c r="D70" s="1" t="s">
        <v>31</v>
      </c>
      <c r="E70" s="1" t="s">
        <v>32</v>
      </c>
      <c r="F70" s="5">
        <v>45397</v>
      </c>
      <c r="G70" s="1">
        <v>4</v>
      </c>
    </row>
    <row r="71" spans="1:7">
      <c r="A71" s="4">
        <v>-104.5</v>
      </c>
      <c r="B71" s="1" t="s">
        <v>7</v>
      </c>
      <c r="C71" s="1" t="s">
        <v>8</v>
      </c>
      <c r="D71" s="1" t="s">
        <v>31</v>
      </c>
      <c r="E71" s="1" t="s">
        <v>32</v>
      </c>
      <c r="F71" s="5">
        <v>45397</v>
      </c>
      <c r="G71" s="1">
        <v>4</v>
      </c>
    </row>
    <row r="72" spans="1:7">
      <c r="A72" s="4">
        <v>-49</v>
      </c>
      <c r="B72" s="1" t="s">
        <v>14</v>
      </c>
      <c r="C72" s="1" t="s">
        <v>8</v>
      </c>
      <c r="D72" s="1" t="s">
        <v>16</v>
      </c>
      <c r="E72" s="1" t="s">
        <v>10</v>
      </c>
      <c r="F72" s="5">
        <v>45397</v>
      </c>
      <c r="G72" s="1">
        <v>4</v>
      </c>
    </row>
    <row r="73" spans="1:7">
      <c r="A73" s="4">
        <v>-9.99</v>
      </c>
      <c r="B73" s="1" t="s">
        <v>7</v>
      </c>
      <c r="C73" s="1" t="s">
        <v>15</v>
      </c>
      <c r="D73" s="1" t="s">
        <v>9</v>
      </c>
      <c r="E73" s="1" t="s">
        <v>10</v>
      </c>
      <c r="F73" s="5">
        <v>45398</v>
      </c>
      <c r="G73" s="1">
        <v>4</v>
      </c>
    </row>
    <row r="74" spans="1:7">
      <c r="A74" s="4">
        <v>-100</v>
      </c>
      <c r="B74" s="1" t="s">
        <v>7</v>
      </c>
      <c r="C74" s="1" t="s">
        <v>8</v>
      </c>
      <c r="D74" s="1" t="s">
        <v>19</v>
      </c>
      <c r="E74" s="1" t="s">
        <v>10</v>
      </c>
      <c r="F74" s="5">
        <v>45399</v>
      </c>
      <c r="G74" s="1">
        <v>4</v>
      </c>
    </row>
    <row r="75" spans="1:7">
      <c r="A75" s="4">
        <v>-57.9</v>
      </c>
      <c r="B75" s="1" t="s">
        <v>7</v>
      </c>
      <c r="C75" s="1" t="s">
        <v>15</v>
      </c>
      <c r="D75" s="1" t="s">
        <v>22</v>
      </c>
      <c r="E75" s="1" t="s">
        <v>10</v>
      </c>
      <c r="F75" s="5">
        <v>45401</v>
      </c>
      <c r="G75" s="1">
        <v>4</v>
      </c>
    </row>
    <row r="76" spans="1:7">
      <c r="A76" s="4">
        <v>-159.9</v>
      </c>
      <c r="B76" s="1" t="s">
        <v>7</v>
      </c>
      <c r="C76" s="1" t="s">
        <v>8</v>
      </c>
      <c r="D76" s="1" t="s">
        <v>9</v>
      </c>
      <c r="E76" s="1" t="s">
        <v>10</v>
      </c>
      <c r="F76" s="5">
        <v>45403</v>
      </c>
      <c r="G76" s="1">
        <v>4</v>
      </c>
    </row>
    <row r="77" spans="1:7">
      <c r="A77" s="4">
        <v>-1000</v>
      </c>
      <c r="B77" s="1" t="s">
        <v>7</v>
      </c>
      <c r="C77" s="1" t="s">
        <v>8</v>
      </c>
      <c r="D77" s="1" t="s">
        <v>22</v>
      </c>
      <c r="E77" s="1" t="s">
        <v>10</v>
      </c>
      <c r="F77" s="5">
        <v>45405</v>
      </c>
      <c r="G77" s="1">
        <v>4</v>
      </c>
    </row>
    <row r="78" spans="1:7">
      <c r="A78" s="4">
        <v>50</v>
      </c>
      <c r="B78" s="1" t="s">
        <v>14</v>
      </c>
      <c r="C78" s="1" t="s">
        <v>20</v>
      </c>
      <c r="D78" s="1" t="s">
        <v>33</v>
      </c>
      <c r="E78" s="1" t="s">
        <v>12</v>
      </c>
      <c r="F78" s="5">
        <v>45407</v>
      </c>
      <c r="G78" s="1">
        <v>4</v>
      </c>
    </row>
    <row r="79" spans="1:7">
      <c r="A79" s="4">
        <v>-69.9</v>
      </c>
      <c r="B79" s="1" t="s">
        <v>7</v>
      </c>
      <c r="C79" s="1" t="s">
        <v>8</v>
      </c>
      <c r="D79" s="1" t="s">
        <v>9</v>
      </c>
      <c r="E79" s="1" t="s">
        <v>10</v>
      </c>
      <c r="F79" s="5">
        <v>45409</v>
      </c>
      <c r="G79" s="1">
        <v>4</v>
      </c>
    </row>
    <row r="80" spans="1:7">
      <c r="A80" s="4">
        <v>-32.5</v>
      </c>
      <c r="B80" s="1" t="s">
        <v>7</v>
      </c>
      <c r="C80" s="1" t="s">
        <v>8</v>
      </c>
      <c r="D80" s="1" t="s">
        <v>9</v>
      </c>
      <c r="E80" s="1" t="s">
        <v>10</v>
      </c>
      <c r="F80" s="5">
        <v>45410</v>
      </c>
      <c r="G80" s="1">
        <v>4</v>
      </c>
    </row>
    <row r="81" spans="1:7">
      <c r="A81" s="4">
        <v>-139</v>
      </c>
      <c r="B81" s="1" t="s">
        <v>7</v>
      </c>
      <c r="C81" s="1" t="s">
        <v>8</v>
      </c>
      <c r="D81" s="1" t="s">
        <v>25</v>
      </c>
      <c r="E81" s="1" t="s">
        <v>10</v>
      </c>
      <c r="F81" s="5">
        <v>45411</v>
      </c>
      <c r="G81" s="1">
        <v>4</v>
      </c>
    </row>
    <row r="82" spans="1:7">
      <c r="A82" s="4">
        <v>-250</v>
      </c>
      <c r="B82" s="1" t="s">
        <v>7</v>
      </c>
      <c r="C82" s="1" t="s">
        <v>15</v>
      </c>
      <c r="D82" s="1" t="s">
        <v>9</v>
      </c>
      <c r="E82" s="1" t="s">
        <v>10</v>
      </c>
      <c r="F82" s="5">
        <v>45419</v>
      </c>
      <c r="G82" s="1">
        <v>5</v>
      </c>
    </row>
    <row r="83" spans="1:7">
      <c r="A83" s="4">
        <v>-80</v>
      </c>
      <c r="B83" s="1" t="s">
        <v>7</v>
      </c>
      <c r="C83" s="1" t="s">
        <v>8</v>
      </c>
      <c r="D83" s="1" t="s">
        <v>23</v>
      </c>
      <c r="E83" s="1" t="s">
        <v>10</v>
      </c>
      <c r="F83" s="5">
        <v>45422</v>
      </c>
      <c r="G83" s="1">
        <v>5</v>
      </c>
    </row>
    <row r="84" spans="1:7">
      <c r="A84" s="4">
        <v>4500</v>
      </c>
      <c r="B84" s="1" t="s">
        <v>7</v>
      </c>
      <c r="C84" s="1" t="s">
        <v>8</v>
      </c>
      <c r="D84" s="1" t="s">
        <v>11</v>
      </c>
      <c r="E84" s="1" t="s">
        <v>12</v>
      </c>
      <c r="F84" s="5">
        <v>45422</v>
      </c>
      <c r="G84" s="1">
        <v>5</v>
      </c>
    </row>
    <row r="85" spans="1:7">
      <c r="A85" s="4">
        <v>-2000</v>
      </c>
      <c r="B85" s="1" t="s">
        <v>7</v>
      </c>
      <c r="C85" s="1" t="s">
        <v>8</v>
      </c>
      <c r="D85" s="1" t="s">
        <v>13</v>
      </c>
      <c r="E85" s="1" t="s">
        <v>10</v>
      </c>
      <c r="F85" s="5">
        <v>45423</v>
      </c>
      <c r="G85" s="1">
        <v>5</v>
      </c>
    </row>
    <row r="86" spans="1:7">
      <c r="A86" s="4">
        <v>-250</v>
      </c>
      <c r="B86" s="1" t="s">
        <v>7</v>
      </c>
      <c r="C86" s="1" t="s">
        <v>15</v>
      </c>
      <c r="D86" s="1" t="s">
        <v>9</v>
      </c>
      <c r="E86" s="1" t="s">
        <v>10</v>
      </c>
      <c r="F86" s="5">
        <v>45426</v>
      </c>
      <c r="G86" s="1">
        <v>5</v>
      </c>
    </row>
    <row r="87" spans="1:7">
      <c r="A87" s="4">
        <v>91.39</v>
      </c>
      <c r="B87" s="1" t="s">
        <v>7</v>
      </c>
      <c r="C87" s="1" t="s">
        <v>15</v>
      </c>
      <c r="D87" s="1" t="s">
        <v>31</v>
      </c>
      <c r="E87" s="1" t="s">
        <v>32</v>
      </c>
      <c r="F87" s="5">
        <v>45427</v>
      </c>
      <c r="G87" s="1">
        <v>5</v>
      </c>
    </row>
    <row r="88" spans="1:7">
      <c r="A88" s="4">
        <v>-91.39</v>
      </c>
      <c r="B88" s="1" t="s">
        <v>7</v>
      </c>
      <c r="C88" s="1" t="s">
        <v>8</v>
      </c>
      <c r="D88" s="1" t="s">
        <v>31</v>
      </c>
      <c r="E88" s="1" t="s">
        <v>32</v>
      </c>
      <c r="F88" s="5">
        <v>45427</v>
      </c>
      <c r="G88" s="1">
        <v>5</v>
      </c>
    </row>
    <row r="89" spans="1:7">
      <c r="A89" s="4">
        <v>-250</v>
      </c>
      <c r="B89" s="1" t="s">
        <v>7</v>
      </c>
      <c r="C89" s="1" t="s">
        <v>15</v>
      </c>
      <c r="D89" s="1" t="s">
        <v>9</v>
      </c>
      <c r="E89" s="1" t="s">
        <v>10</v>
      </c>
      <c r="F89" s="5">
        <v>45433</v>
      </c>
      <c r="G89" s="1">
        <v>5</v>
      </c>
    </row>
    <row r="90" spans="1:7">
      <c r="A90" s="4">
        <v>-250</v>
      </c>
      <c r="B90" s="1" t="s">
        <v>7</v>
      </c>
      <c r="C90" s="1" t="s">
        <v>15</v>
      </c>
      <c r="D90" s="1" t="s">
        <v>9</v>
      </c>
      <c r="E90" s="1" t="s">
        <v>10</v>
      </c>
      <c r="F90" s="5">
        <v>45440</v>
      </c>
      <c r="G90" s="1">
        <v>5</v>
      </c>
    </row>
    <row r="91" spans="1:7">
      <c r="A91" s="4">
        <v>-50</v>
      </c>
      <c r="B91" s="1" t="s">
        <v>14</v>
      </c>
      <c r="C91" s="1" t="s">
        <v>8</v>
      </c>
      <c r="D91" s="1" t="s">
        <v>16</v>
      </c>
      <c r="E91" s="1" t="s">
        <v>10</v>
      </c>
      <c r="F91" s="5">
        <v>45441</v>
      </c>
      <c r="G91" s="1">
        <v>5</v>
      </c>
    </row>
    <row r="92" spans="1:7">
      <c r="A92" s="4">
        <v>-80</v>
      </c>
      <c r="B92" s="1" t="s">
        <v>26</v>
      </c>
      <c r="C92" s="1" t="s">
        <v>28</v>
      </c>
      <c r="D92" s="1" t="s">
        <v>22</v>
      </c>
      <c r="E92" s="1" t="s">
        <v>10</v>
      </c>
      <c r="F92" s="5">
        <v>45442</v>
      </c>
      <c r="G92" s="1">
        <v>5</v>
      </c>
    </row>
    <row r="93" spans="1:7">
      <c r="A93" s="4">
        <v>-250</v>
      </c>
      <c r="B93" s="1" t="s">
        <v>7</v>
      </c>
      <c r="C93" s="1" t="s">
        <v>15</v>
      </c>
      <c r="D93" s="1" t="s">
        <v>9</v>
      </c>
      <c r="E93" s="1" t="s">
        <v>10</v>
      </c>
      <c r="F93" s="5">
        <v>45450</v>
      </c>
      <c r="G93" s="1">
        <v>6</v>
      </c>
    </row>
    <row r="94" spans="1:7">
      <c r="A94" s="4">
        <v>-80</v>
      </c>
      <c r="B94" s="1" t="s">
        <v>7</v>
      </c>
      <c r="C94" s="1" t="s">
        <v>8</v>
      </c>
      <c r="D94" s="1" t="s">
        <v>23</v>
      </c>
      <c r="E94" s="1" t="s">
        <v>10</v>
      </c>
      <c r="F94" s="5">
        <v>45453</v>
      </c>
      <c r="G94" s="1">
        <v>6</v>
      </c>
    </row>
    <row r="95" spans="1:7">
      <c r="A95" s="4">
        <v>4500</v>
      </c>
      <c r="B95" s="1" t="s">
        <v>7</v>
      </c>
      <c r="C95" s="1" t="s">
        <v>8</v>
      </c>
      <c r="D95" s="1" t="s">
        <v>11</v>
      </c>
      <c r="E95" s="1" t="s">
        <v>12</v>
      </c>
      <c r="F95" s="5">
        <v>45453</v>
      </c>
      <c r="G95" s="1">
        <v>6</v>
      </c>
    </row>
    <row r="96" spans="1:7">
      <c r="A96" s="4">
        <v>-2000</v>
      </c>
      <c r="B96" s="1" t="s">
        <v>7</v>
      </c>
      <c r="C96" s="1" t="s">
        <v>8</v>
      </c>
      <c r="D96" s="1" t="s">
        <v>13</v>
      </c>
      <c r="E96" s="1" t="s">
        <v>10</v>
      </c>
      <c r="F96" s="5">
        <v>45454</v>
      </c>
      <c r="G96" s="1">
        <v>6</v>
      </c>
    </row>
    <row r="97" spans="1:7">
      <c r="A97" s="4">
        <v>-250</v>
      </c>
      <c r="B97" s="1" t="s">
        <v>7</v>
      </c>
      <c r="C97" s="1" t="s">
        <v>15</v>
      </c>
      <c r="D97" s="1" t="s">
        <v>9</v>
      </c>
      <c r="E97" s="1" t="s">
        <v>10</v>
      </c>
      <c r="F97" s="5">
        <v>45457</v>
      </c>
      <c r="G97" s="1">
        <v>6</v>
      </c>
    </row>
    <row r="98" spans="1:7">
      <c r="A98" s="4">
        <v>1000</v>
      </c>
      <c r="B98" s="1" t="s">
        <v>7</v>
      </c>
      <c r="C98" s="1" t="s">
        <v>15</v>
      </c>
      <c r="D98" s="1" t="s">
        <v>31</v>
      </c>
      <c r="E98" s="1" t="s">
        <v>32</v>
      </c>
      <c r="F98" s="5">
        <v>45458</v>
      </c>
      <c r="G98" s="1">
        <v>6</v>
      </c>
    </row>
    <row r="99" spans="1:7">
      <c r="A99" s="4">
        <v>-1000</v>
      </c>
      <c r="B99" s="1" t="s">
        <v>7</v>
      </c>
      <c r="C99" s="1" t="s">
        <v>8</v>
      </c>
      <c r="D99" s="1" t="s">
        <v>31</v>
      </c>
      <c r="E99" s="1" t="s">
        <v>32</v>
      </c>
      <c r="F99" s="5">
        <v>45458</v>
      </c>
      <c r="G99" s="1">
        <v>6</v>
      </c>
    </row>
    <row r="100" spans="1:7">
      <c r="A100" s="4">
        <v>-100</v>
      </c>
      <c r="B100" s="1" t="s">
        <v>14</v>
      </c>
      <c r="C100" s="1" t="s">
        <v>8</v>
      </c>
      <c r="D100" s="1" t="s">
        <v>30</v>
      </c>
      <c r="E100" s="1" t="s">
        <v>10</v>
      </c>
      <c r="F100" s="5">
        <v>45458</v>
      </c>
      <c r="G100" s="1">
        <v>6</v>
      </c>
    </row>
    <row r="101" spans="1:7">
      <c r="A101" s="4">
        <v>-250</v>
      </c>
      <c r="B101" s="1" t="s">
        <v>7</v>
      </c>
      <c r="C101" s="1" t="s">
        <v>15</v>
      </c>
      <c r="D101" s="1" t="s">
        <v>9</v>
      </c>
      <c r="E101" s="1" t="s">
        <v>10</v>
      </c>
      <c r="F101" s="5">
        <v>45464</v>
      </c>
      <c r="G101" s="1">
        <v>6</v>
      </c>
    </row>
    <row r="102" spans="1:7">
      <c r="A102" s="4">
        <v>-250</v>
      </c>
      <c r="B102" s="1" t="s">
        <v>7</v>
      </c>
      <c r="C102" s="1" t="s">
        <v>15</v>
      </c>
      <c r="D102" s="1" t="s">
        <v>9</v>
      </c>
      <c r="E102" s="1" t="s">
        <v>10</v>
      </c>
      <c r="F102" s="5">
        <v>45471</v>
      </c>
      <c r="G102" s="1">
        <v>6</v>
      </c>
    </row>
    <row r="103" spans="1:7">
      <c r="A103" s="4">
        <v>-300</v>
      </c>
      <c r="B103" s="1" t="s">
        <v>7</v>
      </c>
      <c r="C103" s="1" t="s">
        <v>15</v>
      </c>
      <c r="D103" s="1" t="s">
        <v>24</v>
      </c>
      <c r="E103" s="1" t="s">
        <v>10</v>
      </c>
      <c r="F103" s="5">
        <v>45471</v>
      </c>
      <c r="G103" s="1">
        <v>6</v>
      </c>
    </row>
    <row r="104" spans="1:7">
      <c r="A104" s="4">
        <v>-50</v>
      </c>
      <c r="B104" s="1" t="s">
        <v>14</v>
      </c>
      <c r="C104" s="1" t="s">
        <v>8</v>
      </c>
      <c r="D104" s="1" t="s">
        <v>16</v>
      </c>
      <c r="E104" s="1" t="s">
        <v>10</v>
      </c>
      <c r="F104" s="5">
        <v>45472</v>
      </c>
      <c r="G104" s="1">
        <v>6</v>
      </c>
    </row>
    <row r="105" spans="1:7">
      <c r="A105" s="4">
        <v>400</v>
      </c>
      <c r="B105" s="1" t="s">
        <v>14</v>
      </c>
      <c r="C105" s="1" t="s">
        <v>8</v>
      </c>
      <c r="D105" s="1" t="s">
        <v>21</v>
      </c>
      <c r="E105" s="1" t="s">
        <v>12</v>
      </c>
      <c r="F105" s="5">
        <v>45472</v>
      </c>
      <c r="G105" s="1">
        <v>6</v>
      </c>
    </row>
    <row r="106" spans="1:7">
      <c r="A106" s="4">
        <v>-200</v>
      </c>
      <c r="B106" s="1" t="s">
        <v>26</v>
      </c>
      <c r="C106" s="1" t="s">
        <v>28</v>
      </c>
      <c r="D106" s="1" t="s">
        <v>22</v>
      </c>
      <c r="E106" s="1" t="s">
        <v>10</v>
      </c>
      <c r="F106" s="5">
        <v>45473</v>
      </c>
      <c r="G106" s="1">
        <v>6</v>
      </c>
    </row>
    <row r="107" spans="1:7">
      <c r="A107" s="4">
        <v>-30</v>
      </c>
      <c r="B107" s="1" t="s">
        <v>26</v>
      </c>
      <c r="C107" s="1" t="s">
        <v>27</v>
      </c>
      <c r="D107" s="1" t="s">
        <v>9</v>
      </c>
      <c r="E107" s="1" t="s">
        <v>10</v>
      </c>
      <c r="F107" s="5">
        <v>45476</v>
      </c>
      <c r="G107" s="1">
        <v>7</v>
      </c>
    </row>
    <row r="108" spans="1:7">
      <c r="A108" s="4">
        <v>-100</v>
      </c>
      <c r="B108" s="1" t="s">
        <v>7</v>
      </c>
      <c r="C108" s="1" t="s">
        <v>8</v>
      </c>
      <c r="D108" s="1" t="s">
        <v>22</v>
      </c>
      <c r="E108" s="1" t="s">
        <v>10</v>
      </c>
      <c r="F108" s="5">
        <v>45480</v>
      </c>
      <c r="G108" s="1">
        <v>7</v>
      </c>
    </row>
    <row r="109" spans="1:7">
      <c r="A109" s="4">
        <v>4500</v>
      </c>
      <c r="B109" s="1" t="s">
        <v>7</v>
      </c>
      <c r="C109" s="1" t="s">
        <v>8</v>
      </c>
      <c r="D109" s="1" t="s">
        <v>11</v>
      </c>
      <c r="E109" s="1" t="s">
        <v>12</v>
      </c>
      <c r="F109" s="5">
        <v>45483</v>
      </c>
      <c r="G109" s="1">
        <v>7</v>
      </c>
    </row>
    <row r="110" spans="1:7">
      <c r="A110" s="4">
        <v>-2000</v>
      </c>
      <c r="B110" s="1" t="s">
        <v>7</v>
      </c>
      <c r="C110" s="1" t="s">
        <v>8</v>
      </c>
      <c r="D110" s="1" t="s">
        <v>13</v>
      </c>
      <c r="E110" s="1" t="s">
        <v>10</v>
      </c>
      <c r="F110" s="5">
        <v>45484</v>
      </c>
      <c r="G110" s="1">
        <v>7</v>
      </c>
    </row>
    <row r="111" spans="1:7">
      <c r="A111" s="4">
        <v>-40</v>
      </c>
      <c r="B111" s="1" t="s">
        <v>7</v>
      </c>
      <c r="C111" s="1" t="s">
        <v>15</v>
      </c>
      <c r="D111" s="1" t="s">
        <v>9</v>
      </c>
      <c r="E111" s="1" t="s">
        <v>10</v>
      </c>
      <c r="F111" s="5">
        <v>45487</v>
      </c>
      <c r="G111" s="1">
        <v>7</v>
      </c>
    </row>
    <row r="112" spans="1:7">
      <c r="A112" s="4">
        <v>1300</v>
      </c>
      <c r="B112" s="1" t="s">
        <v>7</v>
      </c>
      <c r="C112" s="1" t="s">
        <v>15</v>
      </c>
      <c r="D112" s="1" t="s">
        <v>31</v>
      </c>
      <c r="E112" s="1" t="s">
        <v>32</v>
      </c>
      <c r="F112" s="5">
        <v>45488</v>
      </c>
      <c r="G112" s="1">
        <v>7</v>
      </c>
    </row>
    <row r="113" spans="1:7">
      <c r="A113" s="4">
        <v>-1300</v>
      </c>
      <c r="B113" s="1" t="s">
        <v>7</v>
      </c>
      <c r="C113" s="1" t="s">
        <v>8</v>
      </c>
      <c r="D113" s="1" t="s">
        <v>31</v>
      </c>
      <c r="E113" s="1" t="s">
        <v>32</v>
      </c>
      <c r="F113" s="5">
        <v>45488</v>
      </c>
      <c r="G113" s="1">
        <v>7</v>
      </c>
    </row>
    <row r="114" spans="1:7">
      <c r="A114" s="4">
        <v>-300</v>
      </c>
      <c r="B114" s="1" t="s">
        <v>7</v>
      </c>
      <c r="C114" s="1" t="s">
        <v>18</v>
      </c>
      <c r="D114" s="1" t="s">
        <v>30</v>
      </c>
      <c r="E114" s="1" t="s">
        <v>10</v>
      </c>
      <c r="F114" s="5">
        <v>45489</v>
      </c>
      <c r="G114" s="1">
        <v>7</v>
      </c>
    </row>
    <row r="115" spans="1:7">
      <c r="A115" s="4">
        <v>800</v>
      </c>
      <c r="B115" s="1" t="s">
        <v>14</v>
      </c>
      <c r="C115" s="1" t="s">
        <v>20</v>
      </c>
      <c r="D115" s="1" t="s">
        <v>33</v>
      </c>
      <c r="E115" s="1" t="s">
        <v>12</v>
      </c>
      <c r="F115" s="5">
        <v>45491</v>
      </c>
      <c r="G115" s="1">
        <v>7</v>
      </c>
    </row>
    <row r="116" spans="1:7">
      <c r="A116" s="4">
        <v>-600</v>
      </c>
      <c r="B116" s="1" t="s">
        <v>14</v>
      </c>
      <c r="C116" s="1" t="s">
        <v>8</v>
      </c>
      <c r="D116" s="1" t="s">
        <v>22</v>
      </c>
      <c r="E116" s="1" t="s">
        <v>10</v>
      </c>
      <c r="F116" s="5">
        <v>45494</v>
      </c>
      <c r="G116" s="1">
        <v>7</v>
      </c>
    </row>
    <row r="117" spans="1:7">
      <c r="A117" s="4">
        <v>120</v>
      </c>
      <c r="B117" s="1" t="s">
        <v>7</v>
      </c>
      <c r="C117" s="1" t="s">
        <v>18</v>
      </c>
      <c r="D117" s="1" t="s">
        <v>29</v>
      </c>
      <c r="E117" s="1" t="s">
        <v>12</v>
      </c>
      <c r="F117" s="5">
        <v>45495</v>
      </c>
      <c r="G117" s="1">
        <v>7</v>
      </c>
    </row>
    <row r="118" spans="1:7">
      <c r="A118" s="4">
        <v>-90</v>
      </c>
      <c r="B118" s="1" t="s">
        <v>7</v>
      </c>
      <c r="C118" s="1" t="s">
        <v>8</v>
      </c>
      <c r="D118" s="1" t="s">
        <v>23</v>
      </c>
      <c r="E118" s="1" t="s">
        <v>10</v>
      </c>
      <c r="F118" s="5">
        <v>45497</v>
      </c>
      <c r="G118" s="1">
        <v>7</v>
      </c>
    </row>
    <row r="119" spans="1:7">
      <c r="A119" s="4">
        <v>-50</v>
      </c>
      <c r="B119" s="1" t="s">
        <v>7</v>
      </c>
      <c r="C119" s="1" t="s">
        <v>15</v>
      </c>
      <c r="D119" s="1" t="s">
        <v>9</v>
      </c>
      <c r="E119" s="1" t="s">
        <v>10</v>
      </c>
      <c r="F119" s="5">
        <v>45499</v>
      </c>
      <c r="G119" s="1">
        <v>7</v>
      </c>
    </row>
    <row r="120" spans="1:7">
      <c r="A120" s="4">
        <v>250</v>
      </c>
      <c r="B120" s="1" t="s">
        <v>14</v>
      </c>
      <c r="C120" s="1" t="s">
        <v>20</v>
      </c>
      <c r="D120" s="1" t="s">
        <v>24</v>
      </c>
      <c r="E120" s="1" t="s">
        <v>10</v>
      </c>
      <c r="F120" s="5">
        <v>45502</v>
      </c>
      <c r="G120" s="1">
        <v>7</v>
      </c>
    </row>
    <row r="121" spans="1:7">
      <c r="A121" s="4">
        <v>500</v>
      </c>
      <c r="B121" s="1" t="s">
        <v>14</v>
      </c>
      <c r="C121" s="1" t="s">
        <v>8</v>
      </c>
      <c r="D121" s="1" t="s">
        <v>34</v>
      </c>
      <c r="E121" s="1" t="s">
        <v>12</v>
      </c>
      <c r="F121" s="5">
        <v>45503</v>
      </c>
      <c r="G121" s="1">
        <v>7</v>
      </c>
    </row>
    <row r="122" spans="1:7">
      <c r="A122" s="4">
        <v>-45</v>
      </c>
      <c r="B122" s="1" t="s">
        <v>7</v>
      </c>
      <c r="C122" s="1" t="s">
        <v>15</v>
      </c>
      <c r="D122" s="1" t="s">
        <v>9</v>
      </c>
      <c r="E122" s="1" t="s">
        <v>10</v>
      </c>
      <c r="F122" s="5">
        <v>45504</v>
      </c>
      <c r="G122" s="1">
        <v>7</v>
      </c>
    </row>
    <row r="123" spans="1:7">
      <c r="A123" s="4">
        <v>-600</v>
      </c>
      <c r="B123" s="1" t="s">
        <v>7</v>
      </c>
      <c r="C123" s="1" t="s">
        <v>8</v>
      </c>
      <c r="D123" s="1" t="s">
        <v>9</v>
      </c>
      <c r="E123" s="1" t="s">
        <v>10</v>
      </c>
      <c r="F123" s="5">
        <v>45505</v>
      </c>
      <c r="G123" s="1">
        <v>8</v>
      </c>
    </row>
    <row r="124" spans="1:7">
      <c r="A124" s="4">
        <v>-1020</v>
      </c>
      <c r="B124" s="1" t="s">
        <v>7</v>
      </c>
      <c r="C124" s="1" t="s">
        <v>18</v>
      </c>
      <c r="D124" s="1" t="s">
        <v>31</v>
      </c>
      <c r="E124" s="1" t="s">
        <v>32</v>
      </c>
      <c r="F124" s="5">
        <v>45505</v>
      </c>
      <c r="G124" s="1">
        <v>8</v>
      </c>
    </row>
    <row r="125" spans="1:7">
      <c r="A125" s="4">
        <v>-200</v>
      </c>
      <c r="B125" s="1" t="s">
        <v>14</v>
      </c>
      <c r="C125" s="1" t="s">
        <v>8</v>
      </c>
      <c r="D125" s="1" t="s">
        <v>23</v>
      </c>
      <c r="E125" s="1" t="s">
        <v>10</v>
      </c>
      <c r="F125" s="5">
        <v>45505</v>
      </c>
      <c r="G125" s="1">
        <v>8</v>
      </c>
    </row>
    <row r="126" spans="1:7">
      <c r="A126" s="4">
        <v>-70</v>
      </c>
      <c r="B126" s="1" t="s">
        <v>7</v>
      </c>
      <c r="C126" s="1" t="s">
        <v>15</v>
      </c>
      <c r="D126" s="1" t="s">
        <v>9</v>
      </c>
      <c r="E126" s="1" t="s">
        <v>10</v>
      </c>
      <c r="F126" s="5">
        <v>45513</v>
      </c>
      <c r="G126" s="1">
        <v>8</v>
      </c>
    </row>
    <row r="127" spans="1:7">
      <c r="A127" s="4">
        <v>4500</v>
      </c>
      <c r="B127" s="1" t="s">
        <v>7</v>
      </c>
      <c r="C127" s="1" t="s">
        <v>8</v>
      </c>
      <c r="D127" s="1" t="s">
        <v>11</v>
      </c>
      <c r="E127" s="1" t="s">
        <v>12</v>
      </c>
      <c r="F127" s="5">
        <v>45514</v>
      </c>
      <c r="G127" s="1">
        <v>8</v>
      </c>
    </row>
    <row r="128" spans="1:7">
      <c r="A128" s="4">
        <v>-2000</v>
      </c>
      <c r="B128" s="1" t="s">
        <v>7</v>
      </c>
      <c r="C128" s="1" t="s">
        <v>8</v>
      </c>
      <c r="D128" s="1" t="s">
        <v>13</v>
      </c>
      <c r="E128" s="1" t="s">
        <v>10</v>
      </c>
      <c r="F128" s="5">
        <v>45515</v>
      </c>
      <c r="G128" s="1">
        <v>8</v>
      </c>
    </row>
    <row r="129" spans="1:7">
      <c r="A129" s="4">
        <v>-100</v>
      </c>
      <c r="B129" s="1" t="s">
        <v>14</v>
      </c>
      <c r="C129" s="1" t="s">
        <v>8</v>
      </c>
      <c r="D129" s="1" t="s">
        <v>22</v>
      </c>
      <c r="E129" s="1" t="s">
        <v>10</v>
      </c>
      <c r="F129" s="5">
        <v>45518</v>
      </c>
      <c r="G129" s="1">
        <v>8</v>
      </c>
    </row>
    <row r="130" spans="1:7">
      <c r="A130" s="4">
        <v>135</v>
      </c>
      <c r="B130" s="1" t="s">
        <v>7</v>
      </c>
      <c r="C130" s="1" t="s">
        <v>15</v>
      </c>
      <c r="D130" s="1" t="s">
        <v>31</v>
      </c>
      <c r="E130" s="1" t="s">
        <v>32</v>
      </c>
      <c r="F130" s="5">
        <v>45519</v>
      </c>
      <c r="G130" s="1">
        <v>8</v>
      </c>
    </row>
    <row r="131" spans="1:7">
      <c r="A131" s="4">
        <v>-135</v>
      </c>
      <c r="B131" s="1" t="s">
        <v>7</v>
      </c>
      <c r="C131" s="1" t="s">
        <v>8</v>
      </c>
      <c r="D131" s="1" t="s">
        <v>31</v>
      </c>
      <c r="E131" s="1" t="s">
        <v>32</v>
      </c>
      <c r="F131" s="5">
        <v>45519</v>
      </c>
      <c r="G131" s="1">
        <v>8</v>
      </c>
    </row>
    <row r="132" spans="1:7">
      <c r="A132" s="4">
        <v>-400</v>
      </c>
      <c r="B132" s="1" t="s">
        <v>7</v>
      </c>
      <c r="C132" s="1" t="s">
        <v>8</v>
      </c>
      <c r="D132" s="1" t="s">
        <v>30</v>
      </c>
      <c r="E132" s="1" t="s">
        <v>10</v>
      </c>
      <c r="F132" s="5">
        <v>45520</v>
      </c>
      <c r="G132" s="1">
        <v>8</v>
      </c>
    </row>
    <row r="133" spans="1:7">
      <c r="A133" s="4">
        <v>-32</v>
      </c>
      <c r="B133" s="1" t="s">
        <v>7</v>
      </c>
      <c r="C133" s="1" t="s">
        <v>15</v>
      </c>
      <c r="D133" s="1" t="s">
        <v>9</v>
      </c>
      <c r="E133" s="1" t="s">
        <v>10</v>
      </c>
      <c r="F133" s="5">
        <v>45522</v>
      </c>
      <c r="G133" s="1">
        <v>8</v>
      </c>
    </row>
    <row r="134" spans="1:7">
      <c r="A134" s="4">
        <v>200</v>
      </c>
      <c r="B134" s="1" t="s">
        <v>26</v>
      </c>
      <c r="C134" s="1" t="s">
        <v>28</v>
      </c>
      <c r="D134" s="1" t="s">
        <v>33</v>
      </c>
      <c r="E134" s="1" t="s">
        <v>12</v>
      </c>
      <c r="F134" s="5">
        <v>45524</v>
      </c>
      <c r="G134" s="1">
        <v>8</v>
      </c>
    </row>
    <row r="135" spans="1:7">
      <c r="A135" s="4">
        <v>-150</v>
      </c>
      <c r="B135" s="1" t="s">
        <v>26</v>
      </c>
      <c r="C135" s="1" t="s">
        <v>28</v>
      </c>
      <c r="D135" s="1" t="s">
        <v>22</v>
      </c>
      <c r="E135" s="1" t="s">
        <v>10</v>
      </c>
      <c r="F135" s="5">
        <v>45526</v>
      </c>
      <c r="G135" s="1">
        <v>8</v>
      </c>
    </row>
    <row r="136" spans="1:7">
      <c r="A136" s="4">
        <v>-47.5</v>
      </c>
      <c r="B136" s="1" t="s">
        <v>26</v>
      </c>
      <c r="C136" s="1" t="s">
        <v>28</v>
      </c>
      <c r="D136" s="1" t="s">
        <v>9</v>
      </c>
      <c r="E136" s="1" t="s">
        <v>10</v>
      </c>
      <c r="F136" s="5">
        <v>45527</v>
      </c>
      <c r="G136" s="1">
        <v>8</v>
      </c>
    </row>
    <row r="137" spans="1:7">
      <c r="A137" s="4">
        <v>-90</v>
      </c>
      <c r="B137" s="1" t="s">
        <v>7</v>
      </c>
      <c r="C137" s="1" t="s">
        <v>8</v>
      </c>
      <c r="D137" s="1" t="s">
        <v>23</v>
      </c>
      <c r="E137" s="1" t="s">
        <v>10</v>
      </c>
      <c r="F137" s="5">
        <v>45528</v>
      </c>
      <c r="G137" s="1">
        <v>8</v>
      </c>
    </row>
    <row r="138" spans="1:7">
      <c r="A138" s="4">
        <v>-300</v>
      </c>
      <c r="B138" s="1" t="s">
        <v>14</v>
      </c>
      <c r="C138" s="1" t="s">
        <v>20</v>
      </c>
      <c r="D138" s="1" t="s">
        <v>24</v>
      </c>
      <c r="E138" s="1" t="s">
        <v>10</v>
      </c>
      <c r="F138" s="5">
        <v>45531</v>
      </c>
      <c r="G138" s="1">
        <v>8</v>
      </c>
    </row>
    <row r="139" spans="1:7">
      <c r="A139" s="4">
        <v>500</v>
      </c>
      <c r="B139" s="1" t="s">
        <v>14</v>
      </c>
      <c r="C139" s="1" t="s">
        <v>8</v>
      </c>
      <c r="D139" s="1" t="s">
        <v>34</v>
      </c>
      <c r="E139" s="1" t="s">
        <v>12</v>
      </c>
      <c r="F139" s="5">
        <v>45534</v>
      </c>
      <c r="G139" s="1">
        <v>8</v>
      </c>
    </row>
    <row r="140" spans="1:7">
      <c r="A140" s="4">
        <v>200</v>
      </c>
      <c r="B140" s="1" t="s">
        <v>7</v>
      </c>
      <c r="C140" s="1" t="s">
        <v>8</v>
      </c>
      <c r="D140" s="1" t="s">
        <v>33</v>
      </c>
      <c r="E140" s="1" t="s">
        <v>12</v>
      </c>
      <c r="F140" s="5">
        <v>45535</v>
      </c>
      <c r="G140" s="1">
        <v>8</v>
      </c>
    </row>
    <row r="141" spans="1:7">
      <c r="A141" s="4">
        <v>-150</v>
      </c>
      <c r="B141" s="1" t="s">
        <v>7</v>
      </c>
      <c r="C141" s="1" t="s">
        <v>8</v>
      </c>
      <c r="D141" s="1" t="s">
        <v>23</v>
      </c>
      <c r="E141" s="1" t="s">
        <v>10</v>
      </c>
      <c r="F141" s="5">
        <v>45536</v>
      </c>
      <c r="G141" s="1">
        <v>9</v>
      </c>
    </row>
    <row r="142" spans="1:7">
      <c r="A142" s="4">
        <v>-20</v>
      </c>
      <c r="B142" s="1" t="s">
        <v>14</v>
      </c>
      <c r="C142" s="1" t="s">
        <v>8</v>
      </c>
      <c r="D142" s="1" t="s">
        <v>9</v>
      </c>
      <c r="E142" s="1" t="s">
        <v>10</v>
      </c>
      <c r="F142" s="5">
        <v>45539</v>
      </c>
      <c r="G142" s="1">
        <v>9</v>
      </c>
    </row>
    <row r="143" spans="1:7">
      <c r="A143" s="4">
        <v>-40</v>
      </c>
      <c r="B143" s="1" t="s">
        <v>7</v>
      </c>
      <c r="C143" s="1" t="s">
        <v>8</v>
      </c>
      <c r="D143" s="1" t="s">
        <v>16</v>
      </c>
      <c r="E143" s="1" t="s">
        <v>10</v>
      </c>
      <c r="F143" s="5">
        <v>45542</v>
      </c>
      <c r="G143" s="1">
        <v>9</v>
      </c>
    </row>
    <row r="144" spans="1:7">
      <c r="A144" s="4">
        <v>-500</v>
      </c>
      <c r="B144" s="1" t="s">
        <v>7</v>
      </c>
      <c r="C144" s="1" t="s">
        <v>8</v>
      </c>
      <c r="D144" s="1" t="s">
        <v>9</v>
      </c>
      <c r="E144" s="1" t="s">
        <v>10</v>
      </c>
      <c r="F144" s="5">
        <v>45543</v>
      </c>
      <c r="G144" s="1">
        <v>9</v>
      </c>
    </row>
    <row r="145" spans="1:7">
      <c r="A145" s="4">
        <v>4500</v>
      </c>
      <c r="B145" s="1" t="s">
        <v>7</v>
      </c>
      <c r="C145" s="1" t="s">
        <v>8</v>
      </c>
      <c r="D145" s="1" t="s">
        <v>11</v>
      </c>
      <c r="E145" s="1" t="s">
        <v>12</v>
      </c>
      <c r="F145" s="5">
        <v>45545</v>
      </c>
      <c r="G145" s="1">
        <v>9</v>
      </c>
    </row>
    <row r="146" spans="1:7">
      <c r="A146" s="4">
        <v>-20</v>
      </c>
      <c r="B146" s="1" t="s">
        <v>7</v>
      </c>
      <c r="C146" s="1" t="s">
        <v>15</v>
      </c>
      <c r="D146" s="1" t="s">
        <v>22</v>
      </c>
      <c r="E146" s="1" t="s">
        <v>10</v>
      </c>
      <c r="F146" s="5">
        <v>45546</v>
      </c>
      <c r="G146" s="1">
        <v>9</v>
      </c>
    </row>
    <row r="147" spans="1:7">
      <c r="A147" s="4">
        <v>-2000</v>
      </c>
      <c r="B147" s="1" t="s">
        <v>7</v>
      </c>
      <c r="C147" s="1" t="s">
        <v>8</v>
      </c>
      <c r="D147" s="1" t="s">
        <v>13</v>
      </c>
      <c r="E147" s="1" t="s">
        <v>10</v>
      </c>
      <c r="F147" s="5">
        <v>45546</v>
      </c>
      <c r="G147" s="1">
        <v>9</v>
      </c>
    </row>
    <row r="148" spans="1:7">
      <c r="A148" s="4">
        <v>102</v>
      </c>
      <c r="B148" s="1" t="s">
        <v>7</v>
      </c>
      <c r="C148" s="1" t="s">
        <v>15</v>
      </c>
      <c r="D148" s="1" t="s">
        <v>31</v>
      </c>
      <c r="E148" s="1" t="s">
        <v>32</v>
      </c>
      <c r="F148" s="5">
        <v>45550</v>
      </c>
      <c r="G148" s="1">
        <v>9</v>
      </c>
    </row>
    <row r="149" spans="1:7">
      <c r="A149" s="4">
        <v>-102</v>
      </c>
      <c r="B149" s="1" t="s">
        <v>7</v>
      </c>
      <c r="C149" s="1" t="s">
        <v>8</v>
      </c>
      <c r="D149" s="1" t="s">
        <v>31</v>
      </c>
      <c r="E149" s="1" t="s">
        <v>32</v>
      </c>
      <c r="F149" s="5">
        <v>45550</v>
      </c>
      <c r="G149" s="1">
        <v>9</v>
      </c>
    </row>
    <row r="150" spans="1:7">
      <c r="A150" s="4">
        <v>-18.5</v>
      </c>
      <c r="B150" s="1" t="s">
        <v>7</v>
      </c>
      <c r="C150" s="1" t="s">
        <v>8</v>
      </c>
      <c r="D150" s="1" t="s">
        <v>9</v>
      </c>
      <c r="E150" s="1" t="s">
        <v>10</v>
      </c>
      <c r="F150" s="5">
        <v>45553</v>
      </c>
      <c r="G150" s="1">
        <v>9</v>
      </c>
    </row>
    <row r="151" spans="1:7">
      <c r="A151" s="4">
        <v>-150</v>
      </c>
      <c r="B151" s="1" t="s">
        <v>7</v>
      </c>
      <c r="C151" s="1" t="s">
        <v>8</v>
      </c>
      <c r="D151" s="1" t="s">
        <v>23</v>
      </c>
      <c r="E151" s="1" t="s">
        <v>10</v>
      </c>
      <c r="F151" s="5">
        <v>45566</v>
      </c>
      <c r="G151" s="1">
        <v>10</v>
      </c>
    </row>
    <row r="152" spans="1:7">
      <c r="A152" s="4">
        <v>-40</v>
      </c>
      <c r="B152" s="1" t="s">
        <v>7</v>
      </c>
      <c r="C152" s="1" t="s">
        <v>8</v>
      </c>
      <c r="D152" s="1" t="s">
        <v>16</v>
      </c>
      <c r="E152" s="1" t="s">
        <v>10</v>
      </c>
      <c r="F152" s="5">
        <v>45572</v>
      </c>
      <c r="G152" s="1">
        <v>10</v>
      </c>
    </row>
    <row r="153" spans="1:7">
      <c r="A153" s="4">
        <v>-600</v>
      </c>
      <c r="B153" s="1" t="s">
        <v>7</v>
      </c>
      <c r="C153" s="1" t="s">
        <v>8</v>
      </c>
      <c r="D153" s="1" t="s">
        <v>9</v>
      </c>
      <c r="E153" s="1" t="s">
        <v>10</v>
      </c>
      <c r="F153" s="5">
        <v>45573</v>
      </c>
      <c r="G153" s="1">
        <v>10</v>
      </c>
    </row>
    <row r="154" spans="1:7">
      <c r="A154" s="4">
        <v>4500</v>
      </c>
      <c r="B154" s="1" t="s">
        <v>7</v>
      </c>
      <c r="C154" s="1" t="s">
        <v>8</v>
      </c>
      <c r="D154" s="1" t="s">
        <v>11</v>
      </c>
      <c r="E154" s="1" t="s">
        <v>12</v>
      </c>
      <c r="F154" s="5">
        <v>45575</v>
      </c>
      <c r="G154" s="1">
        <v>10</v>
      </c>
    </row>
    <row r="155" spans="1:7">
      <c r="A155" s="4">
        <v>-40</v>
      </c>
      <c r="B155" s="1" t="s">
        <v>7</v>
      </c>
      <c r="C155" s="1" t="s">
        <v>15</v>
      </c>
      <c r="D155" s="1" t="s">
        <v>22</v>
      </c>
      <c r="E155" s="1" t="s">
        <v>10</v>
      </c>
      <c r="F155" s="5">
        <v>45576</v>
      </c>
      <c r="G155" s="1">
        <v>10</v>
      </c>
    </row>
    <row r="156" spans="1:7">
      <c r="A156" s="4">
        <v>-2000</v>
      </c>
      <c r="B156" s="1" t="s">
        <v>7</v>
      </c>
      <c r="C156" s="1" t="s">
        <v>8</v>
      </c>
      <c r="D156" s="1" t="s">
        <v>13</v>
      </c>
      <c r="E156" s="1" t="s">
        <v>10</v>
      </c>
      <c r="F156" s="5">
        <v>45576</v>
      </c>
      <c r="G156" s="1">
        <v>10</v>
      </c>
    </row>
    <row r="157" spans="1:7">
      <c r="A157" s="4">
        <v>20</v>
      </c>
      <c r="B157" s="1" t="s">
        <v>7</v>
      </c>
      <c r="C157" s="1" t="s">
        <v>15</v>
      </c>
      <c r="D157" s="1" t="s">
        <v>31</v>
      </c>
      <c r="E157" s="1" t="s">
        <v>32</v>
      </c>
      <c r="F157" s="5">
        <v>45580</v>
      </c>
      <c r="G157" s="1">
        <v>10</v>
      </c>
    </row>
    <row r="158" spans="1:7">
      <c r="A158" s="4">
        <v>-20</v>
      </c>
      <c r="B158" s="1" t="s">
        <v>7</v>
      </c>
      <c r="C158" s="1" t="s">
        <v>8</v>
      </c>
      <c r="D158" s="1" t="s">
        <v>31</v>
      </c>
      <c r="E158" s="1" t="s">
        <v>32</v>
      </c>
      <c r="F158" s="5">
        <v>45580</v>
      </c>
      <c r="G158" s="1">
        <v>10</v>
      </c>
    </row>
    <row r="159" spans="1:7">
      <c r="A159" s="4">
        <v>4500</v>
      </c>
      <c r="B159" s="1" t="s">
        <v>7</v>
      </c>
      <c r="C159" s="1" t="s">
        <v>8</v>
      </c>
      <c r="D159" s="1" t="s">
        <v>11</v>
      </c>
      <c r="E159" s="1" t="s">
        <v>12</v>
      </c>
      <c r="F159" s="5">
        <v>45606</v>
      </c>
      <c r="G159" s="1">
        <v>11</v>
      </c>
    </row>
    <row r="160" spans="1:7">
      <c r="A160" s="4">
        <v>-2000</v>
      </c>
      <c r="B160" s="1" t="s">
        <v>7</v>
      </c>
      <c r="C160" s="1" t="s">
        <v>8</v>
      </c>
      <c r="D160" s="1" t="s">
        <v>13</v>
      </c>
      <c r="E160" s="1" t="s">
        <v>10</v>
      </c>
      <c r="F160" s="5">
        <v>45607</v>
      </c>
      <c r="G160" s="1">
        <v>11</v>
      </c>
    </row>
    <row r="161" spans="1:7">
      <c r="A161" s="4">
        <v>-82</v>
      </c>
      <c r="B161" s="1" t="s">
        <v>7</v>
      </c>
      <c r="C161" s="1" t="s">
        <v>8</v>
      </c>
      <c r="D161" s="1" t="s">
        <v>23</v>
      </c>
      <c r="E161" s="1" t="s">
        <v>10</v>
      </c>
      <c r="F161" s="5">
        <v>45607</v>
      </c>
      <c r="G161" s="1">
        <v>11</v>
      </c>
    </row>
    <row r="162" spans="1:7">
      <c r="A162" s="4">
        <v>-200</v>
      </c>
      <c r="B162" s="1" t="s">
        <v>7</v>
      </c>
      <c r="C162" s="1" t="s">
        <v>8</v>
      </c>
      <c r="D162" s="1" t="s">
        <v>9</v>
      </c>
      <c r="E162" s="1" t="s">
        <v>10</v>
      </c>
      <c r="F162" s="5">
        <v>45607</v>
      </c>
      <c r="G162" s="1">
        <v>11</v>
      </c>
    </row>
    <row r="163" spans="1:7">
      <c r="A163" s="4">
        <v>-12</v>
      </c>
      <c r="B163" s="1" t="s">
        <v>7</v>
      </c>
      <c r="C163" s="1" t="s">
        <v>8</v>
      </c>
      <c r="D163" s="1" t="s">
        <v>16</v>
      </c>
      <c r="E163" s="1" t="s">
        <v>10</v>
      </c>
      <c r="F163" s="5">
        <v>45608</v>
      </c>
      <c r="G163" s="1">
        <v>11</v>
      </c>
    </row>
    <row r="164" spans="1:7">
      <c r="A164" s="4">
        <v>-90</v>
      </c>
      <c r="B164" s="1" t="s">
        <v>7</v>
      </c>
      <c r="C164" s="1" t="s">
        <v>8</v>
      </c>
      <c r="D164" s="1" t="s">
        <v>22</v>
      </c>
      <c r="E164" s="1" t="s">
        <v>10</v>
      </c>
      <c r="F164" s="5">
        <v>45610</v>
      </c>
      <c r="G164" s="1">
        <v>11</v>
      </c>
    </row>
    <row r="165" spans="1:7">
      <c r="A165" s="4">
        <v>40</v>
      </c>
      <c r="B165" s="1" t="s">
        <v>7</v>
      </c>
      <c r="C165" s="1" t="s">
        <v>15</v>
      </c>
      <c r="D165" s="1" t="s">
        <v>31</v>
      </c>
      <c r="E165" s="1" t="s">
        <v>32</v>
      </c>
      <c r="F165" s="5">
        <v>45611</v>
      </c>
      <c r="G165" s="1">
        <v>11</v>
      </c>
    </row>
    <row r="166" spans="1:7">
      <c r="A166" s="4">
        <v>-40</v>
      </c>
      <c r="B166" s="1" t="s">
        <v>7</v>
      </c>
      <c r="C166" s="1" t="s">
        <v>8</v>
      </c>
      <c r="D166" s="1" t="s">
        <v>31</v>
      </c>
      <c r="E166" s="1" t="s">
        <v>32</v>
      </c>
      <c r="F166" s="5">
        <v>45611</v>
      </c>
      <c r="G166" s="1">
        <v>11</v>
      </c>
    </row>
    <row r="167" spans="1:7">
      <c r="A167" s="4">
        <v>-28</v>
      </c>
      <c r="B167" s="1" t="s">
        <v>7</v>
      </c>
      <c r="C167" s="1" t="s">
        <v>8</v>
      </c>
      <c r="D167" s="1" t="s">
        <v>9</v>
      </c>
      <c r="E167" s="1" t="s">
        <v>10</v>
      </c>
      <c r="F167" s="5">
        <v>45612</v>
      </c>
      <c r="G167" s="1">
        <v>11</v>
      </c>
    </row>
    <row r="168" spans="1:7">
      <c r="A168" s="4">
        <v>-63</v>
      </c>
      <c r="B168" s="1" t="s">
        <v>7</v>
      </c>
      <c r="C168" s="1" t="s">
        <v>8</v>
      </c>
      <c r="D168" s="1" t="s">
        <v>30</v>
      </c>
      <c r="E168" s="1" t="s">
        <v>10</v>
      </c>
      <c r="F168" s="5">
        <v>45613</v>
      </c>
      <c r="G168" s="1">
        <v>11</v>
      </c>
    </row>
    <row r="169" spans="1:7">
      <c r="A169" s="4">
        <v>-15</v>
      </c>
      <c r="B169" s="1" t="s">
        <v>7</v>
      </c>
      <c r="C169" s="1" t="s">
        <v>8</v>
      </c>
      <c r="D169" s="1" t="s">
        <v>23</v>
      </c>
      <c r="E169" s="1" t="s">
        <v>10</v>
      </c>
      <c r="F169" s="5">
        <v>45613</v>
      </c>
      <c r="G169" s="1">
        <v>11</v>
      </c>
    </row>
    <row r="170" spans="1:7">
      <c r="A170" s="4">
        <v>-44</v>
      </c>
      <c r="B170" s="1" t="s">
        <v>7</v>
      </c>
      <c r="C170" s="1" t="s">
        <v>8</v>
      </c>
      <c r="D170" s="1" t="s">
        <v>9</v>
      </c>
      <c r="E170" s="1" t="s">
        <v>10</v>
      </c>
      <c r="F170" s="5">
        <v>45615</v>
      </c>
      <c r="G170" s="1">
        <v>11</v>
      </c>
    </row>
    <row r="171" spans="1:7">
      <c r="A171" s="4">
        <v>-107</v>
      </c>
      <c r="B171" s="1" t="s">
        <v>7</v>
      </c>
      <c r="C171" s="1" t="s">
        <v>8</v>
      </c>
      <c r="D171" s="1" t="s">
        <v>24</v>
      </c>
      <c r="E171" s="1" t="s">
        <v>10</v>
      </c>
      <c r="F171" s="5">
        <v>45616</v>
      </c>
      <c r="G171" s="1">
        <v>11</v>
      </c>
    </row>
    <row r="172" spans="1:7">
      <c r="A172" s="4">
        <v>-169</v>
      </c>
      <c r="B172" s="1" t="s">
        <v>7</v>
      </c>
      <c r="C172" s="1" t="s">
        <v>8</v>
      </c>
      <c r="D172" s="1" t="s">
        <v>19</v>
      </c>
      <c r="E172" s="1" t="s">
        <v>10</v>
      </c>
      <c r="F172" s="5">
        <v>45617</v>
      </c>
      <c r="G172" s="1">
        <v>11</v>
      </c>
    </row>
    <row r="173" spans="1:7">
      <c r="A173" s="4">
        <v>-51</v>
      </c>
      <c r="B173" s="1" t="s">
        <v>7</v>
      </c>
      <c r="C173" s="1" t="s">
        <v>8</v>
      </c>
      <c r="D173" s="1" t="s">
        <v>24</v>
      </c>
      <c r="E173" s="1" t="s">
        <v>10</v>
      </c>
      <c r="F173" s="5">
        <v>45618</v>
      </c>
      <c r="G173" s="1">
        <v>11</v>
      </c>
    </row>
    <row r="174" spans="1:7">
      <c r="A174" s="4">
        <v>-80</v>
      </c>
      <c r="B174" s="1" t="s">
        <v>7</v>
      </c>
      <c r="C174" s="1" t="s">
        <v>8</v>
      </c>
      <c r="D174" s="1" t="s">
        <v>9</v>
      </c>
      <c r="E174" s="1" t="s">
        <v>10</v>
      </c>
      <c r="F174" s="5">
        <v>45618</v>
      </c>
      <c r="G174" s="1">
        <v>11</v>
      </c>
    </row>
    <row r="175" spans="1:7">
      <c r="A175" s="4">
        <v>-70</v>
      </c>
      <c r="B175" s="1" t="s">
        <v>7</v>
      </c>
      <c r="C175" s="1" t="s">
        <v>8</v>
      </c>
      <c r="D175" s="1" t="s">
        <v>30</v>
      </c>
      <c r="E175" s="1" t="s">
        <v>10</v>
      </c>
      <c r="F175" s="5">
        <v>45618</v>
      </c>
      <c r="G175" s="1">
        <v>11</v>
      </c>
    </row>
    <row r="176" spans="1:7">
      <c r="A176" s="4">
        <v>-35</v>
      </c>
      <c r="B176" s="1" t="s">
        <v>7</v>
      </c>
      <c r="C176" s="1" t="s">
        <v>8</v>
      </c>
      <c r="D176" s="1" t="s">
        <v>16</v>
      </c>
      <c r="E176" s="1" t="s">
        <v>10</v>
      </c>
      <c r="F176" s="5">
        <v>45619</v>
      </c>
      <c r="G176" s="1">
        <v>11</v>
      </c>
    </row>
    <row r="177" spans="1:7">
      <c r="A177" s="4">
        <v>-11</v>
      </c>
      <c r="B177" s="1" t="s">
        <v>7</v>
      </c>
      <c r="C177" s="1" t="s">
        <v>8</v>
      </c>
      <c r="D177" s="1" t="s">
        <v>23</v>
      </c>
      <c r="E177" s="1" t="s">
        <v>10</v>
      </c>
      <c r="F177" s="5">
        <v>45619</v>
      </c>
      <c r="G177" s="1">
        <v>11</v>
      </c>
    </row>
    <row r="178" spans="1:7">
      <c r="A178" s="4">
        <v>-80</v>
      </c>
      <c r="B178" s="1" t="s">
        <v>7</v>
      </c>
      <c r="C178" s="1" t="s">
        <v>8</v>
      </c>
      <c r="D178" s="1" t="s">
        <v>22</v>
      </c>
      <c r="E178" s="1" t="s">
        <v>10</v>
      </c>
      <c r="F178" s="5">
        <v>45621</v>
      </c>
      <c r="G178" s="1">
        <v>11</v>
      </c>
    </row>
    <row r="179" spans="1:7">
      <c r="A179" s="4">
        <v>-58</v>
      </c>
      <c r="B179" s="1" t="s">
        <v>7</v>
      </c>
      <c r="C179" s="1" t="s">
        <v>8</v>
      </c>
      <c r="D179" s="1" t="s">
        <v>9</v>
      </c>
      <c r="E179" s="1" t="s">
        <v>10</v>
      </c>
      <c r="F179" s="5">
        <v>45622</v>
      </c>
      <c r="G179" s="1">
        <v>11</v>
      </c>
    </row>
    <row r="180" spans="1:7">
      <c r="A180" s="4">
        <v>-52</v>
      </c>
      <c r="B180" s="1" t="s">
        <v>7</v>
      </c>
      <c r="C180" s="1" t="s">
        <v>8</v>
      </c>
      <c r="D180" s="1" t="s">
        <v>23</v>
      </c>
      <c r="E180" s="1" t="s">
        <v>10</v>
      </c>
      <c r="F180" s="5">
        <v>45623</v>
      </c>
      <c r="G180" s="1">
        <v>11</v>
      </c>
    </row>
    <row r="181" spans="1:7">
      <c r="A181" s="4">
        <v>-44</v>
      </c>
      <c r="B181" s="1" t="s">
        <v>7</v>
      </c>
      <c r="C181" s="1" t="s">
        <v>8</v>
      </c>
      <c r="D181" s="1" t="s">
        <v>22</v>
      </c>
      <c r="E181" s="1" t="s">
        <v>10</v>
      </c>
      <c r="F181" s="5">
        <v>45623</v>
      </c>
      <c r="G181" s="1">
        <v>11</v>
      </c>
    </row>
    <row r="182" spans="1:7">
      <c r="A182" s="4">
        <v>-48</v>
      </c>
      <c r="B182" s="1" t="s">
        <v>7</v>
      </c>
      <c r="C182" s="1" t="s">
        <v>8</v>
      </c>
      <c r="D182" s="1" t="s">
        <v>23</v>
      </c>
      <c r="E182" s="1" t="s">
        <v>10</v>
      </c>
      <c r="F182" s="5">
        <v>45623</v>
      </c>
      <c r="G182" s="1">
        <v>11</v>
      </c>
    </row>
    <row r="183" spans="1:7">
      <c r="A183" s="4">
        <v>-65</v>
      </c>
      <c r="B183" s="1" t="s">
        <v>7</v>
      </c>
      <c r="C183" s="1" t="s">
        <v>8</v>
      </c>
      <c r="D183" s="1" t="s">
        <v>19</v>
      </c>
      <c r="E183" s="1" t="s">
        <v>10</v>
      </c>
      <c r="F183" s="5">
        <v>45624</v>
      </c>
      <c r="G183" s="1">
        <v>11</v>
      </c>
    </row>
    <row r="184" spans="1:7">
      <c r="A184" s="4">
        <v>400</v>
      </c>
      <c r="B184" s="1" t="s">
        <v>26</v>
      </c>
      <c r="C184" s="1" t="s">
        <v>28</v>
      </c>
      <c r="D184" s="1" t="s">
        <v>33</v>
      </c>
      <c r="E184" s="1" t="s">
        <v>12</v>
      </c>
      <c r="F184" s="5">
        <v>45625</v>
      </c>
      <c r="G184" s="1">
        <v>11</v>
      </c>
    </row>
    <row r="185" spans="1:7">
      <c r="A185" s="4">
        <v>-96</v>
      </c>
      <c r="B185" s="1" t="s">
        <v>7</v>
      </c>
      <c r="C185" s="1" t="s">
        <v>8</v>
      </c>
      <c r="D185" s="1" t="s">
        <v>9</v>
      </c>
      <c r="E185" s="1" t="s">
        <v>10</v>
      </c>
      <c r="F185" s="5">
        <v>45626</v>
      </c>
      <c r="G185" s="1">
        <v>11</v>
      </c>
    </row>
    <row r="186" spans="1:7">
      <c r="A186" s="4">
        <v>-50</v>
      </c>
      <c r="B186" s="1" t="s">
        <v>7</v>
      </c>
      <c r="C186" s="1" t="s">
        <v>8</v>
      </c>
      <c r="D186" s="1" t="s">
        <v>9</v>
      </c>
      <c r="E186" s="1" t="s">
        <v>10</v>
      </c>
      <c r="F186" s="5">
        <v>45627</v>
      </c>
      <c r="G186" s="1">
        <v>12</v>
      </c>
    </row>
    <row r="187" spans="1:7">
      <c r="A187" s="4">
        <v>-50</v>
      </c>
      <c r="B187" s="1" t="s">
        <v>7</v>
      </c>
      <c r="C187" s="1" t="s">
        <v>8</v>
      </c>
      <c r="D187" s="1" t="s">
        <v>9</v>
      </c>
      <c r="E187" s="1" t="s">
        <v>10</v>
      </c>
      <c r="F187" s="5">
        <v>45627</v>
      </c>
      <c r="G187" s="1">
        <v>12</v>
      </c>
    </row>
    <row r="188" spans="1:7">
      <c r="A188" s="4">
        <v>-5</v>
      </c>
      <c r="B188" s="1" t="s">
        <v>7</v>
      </c>
      <c r="C188" s="1" t="s">
        <v>8</v>
      </c>
      <c r="D188" s="1" t="s">
        <v>30</v>
      </c>
      <c r="E188" s="1" t="s">
        <v>10</v>
      </c>
      <c r="F188" s="5">
        <v>45628</v>
      </c>
      <c r="G188" s="1">
        <v>12</v>
      </c>
    </row>
    <row r="189" spans="1:7">
      <c r="A189" s="4">
        <v>-100</v>
      </c>
      <c r="B189" s="1" t="s">
        <v>7</v>
      </c>
      <c r="C189" s="1" t="s">
        <v>8</v>
      </c>
      <c r="D189" s="1" t="s">
        <v>19</v>
      </c>
      <c r="E189" s="1" t="s">
        <v>10</v>
      </c>
      <c r="F189" s="5">
        <v>45628</v>
      </c>
      <c r="G189" s="1">
        <v>12</v>
      </c>
    </row>
    <row r="190" spans="1:7">
      <c r="A190" s="4">
        <v>-60</v>
      </c>
      <c r="B190" s="1" t="s">
        <v>7</v>
      </c>
      <c r="C190" s="1" t="s">
        <v>8</v>
      </c>
      <c r="D190" s="1" t="s">
        <v>24</v>
      </c>
      <c r="E190" s="1" t="s">
        <v>10</v>
      </c>
      <c r="F190" s="5">
        <v>45628</v>
      </c>
      <c r="G190" s="1">
        <v>12</v>
      </c>
    </row>
    <row r="191" spans="1:7">
      <c r="A191" s="4">
        <v>-5</v>
      </c>
      <c r="B191" s="1" t="s">
        <v>7</v>
      </c>
      <c r="C191" s="1" t="s">
        <v>8</v>
      </c>
      <c r="D191" s="1" t="s">
        <v>30</v>
      </c>
      <c r="E191" s="1" t="s">
        <v>10</v>
      </c>
      <c r="F191" s="5">
        <v>45628</v>
      </c>
      <c r="G191" s="1">
        <v>12</v>
      </c>
    </row>
    <row r="192" spans="1:7">
      <c r="A192" s="4">
        <v>-100</v>
      </c>
      <c r="B192" s="1" t="s">
        <v>7</v>
      </c>
      <c r="C192" s="1" t="s">
        <v>8</v>
      </c>
      <c r="D192" s="1" t="s">
        <v>19</v>
      </c>
      <c r="E192" s="1" t="s">
        <v>10</v>
      </c>
      <c r="F192" s="5">
        <v>45628</v>
      </c>
      <c r="G192" s="1">
        <v>12</v>
      </c>
    </row>
    <row r="193" spans="1:7">
      <c r="A193" s="4">
        <v>-60</v>
      </c>
      <c r="B193" s="1" t="s">
        <v>7</v>
      </c>
      <c r="C193" s="1" t="s">
        <v>8</v>
      </c>
      <c r="D193" s="1" t="s">
        <v>24</v>
      </c>
      <c r="E193" s="1" t="s">
        <v>10</v>
      </c>
      <c r="F193" s="5">
        <v>45628</v>
      </c>
      <c r="G193" s="1">
        <v>12</v>
      </c>
    </row>
    <row r="194" spans="1:7">
      <c r="A194" s="4">
        <v>-150</v>
      </c>
      <c r="B194" s="1" t="s">
        <v>7</v>
      </c>
      <c r="C194" s="1" t="s">
        <v>8</v>
      </c>
      <c r="D194" s="1" t="s">
        <v>22</v>
      </c>
      <c r="E194" s="1" t="s">
        <v>10</v>
      </c>
      <c r="F194" s="5">
        <v>45629</v>
      </c>
      <c r="G194" s="1">
        <v>12</v>
      </c>
    </row>
    <row r="195" spans="1:7">
      <c r="A195" s="4">
        <v>-150</v>
      </c>
      <c r="B195" s="1" t="s">
        <v>7</v>
      </c>
      <c r="C195" s="1" t="s">
        <v>8</v>
      </c>
      <c r="D195" s="1" t="s">
        <v>22</v>
      </c>
      <c r="E195" s="1" t="s">
        <v>10</v>
      </c>
      <c r="F195" s="5">
        <v>45629</v>
      </c>
      <c r="G195" s="1">
        <v>12</v>
      </c>
    </row>
    <row r="196" spans="1:7">
      <c r="A196" s="4">
        <v>-100</v>
      </c>
      <c r="B196" s="1" t="s">
        <v>7</v>
      </c>
      <c r="C196" s="1" t="s">
        <v>8</v>
      </c>
      <c r="D196" s="1" t="s">
        <v>9</v>
      </c>
      <c r="E196" s="1" t="s">
        <v>10</v>
      </c>
      <c r="F196" s="5">
        <v>45632</v>
      </c>
      <c r="G196" s="1">
        <v>12</v>
      </c>
    </row>
    <row r="197" spans="1:7">
      <c r="A197" s="4">
        <v>-100</v>
      </c>
      <c r="B197" s="1" t="s">
        <v>7</v>
      </c>
      <c r="C197" s="1" t="s">
        <v>8</v>
      </c>
      <c r="D197" s="1" t="s">
        <v>9</v>
      </c>
      <c r="E197" s="1" t="s">
        <v>10</v>
      </c>
      <c r="F197" s="5">
        <v>45632</v>
      </c>
      <c r="G197" s="1">
        <v>12</v>
      </c>
    </row>
    <row r="198" spans="1:7">
      <c r="A198" s="4">
        <v>4500</v>
      </c>
      <c r="B198" s="1" t="s">
        <v>7</v>
      </c>
      <c r="C198" s="1" t="s">
        <v>8</v>
      </c>
      <c r="D198" s="1" t="s">
        <v>11</v>
      </c>
      <c r="E198" s="1" t="s">
        <v>12</v>
      </c>
      <c r="F198" s="5">
        <v>45636</v>
      </c>
      <c r="G198" s="1">
        <v>12</v>
      </c>
    </row>
    <row r="199" spans="1:7">
      <c r="A199" s="4">
        <v>-2000</v>
      </c>
      <c r="B199" s="1" t="s">
        <v>7</v>
      </c>
      <c r="C199" s="1" t="s">
        <v>8</v>
      </c>
      <c r="D199" s="1" t="s">
        <v>13</v>
      </c>
      <c r="E199" s="1" t="s">
        <v>10</v>
      </c>
      <c r="F199" s="5">
        <v>45637</v>
      </c>
      <c r="G199" s="1">
        <v>12</v>
      </c>
    </row>
    <row r="200" spans="1:7">
      <c r="A200" s="4">
        <v>-50</v>
      </c>
      <c r="B200" s="1" t="s">
        <v>7</v>
      </c>
      <c r="C200" s="1" t="s">
        <v>8</v>
      </c>
      <c r="D200" s="1" t="s">
        <v>22</v>
      </c>
      <c r="E200" s="1" t="s">
        <v>10</v>
      </c>
      <c r="F200" s="5">
        <v>45640</v>
      </c>
      <c r="G200" s="1">
        <v>12</v>
      </c>
    </row>
    <row r="201" spans="1:7">
      <c r="A201" s="4">
        <v>-100</v>
      </c>
      <c r="B201" s="1" t="s">
        <v>7</v>
      </c>
      <c r="C201" s="1" t="s">
        <v>8</v>
      </c>
      <c r="D201" s="1" t="s">
        <v>25</v>
      </c>
      <c r="E201" s="1" t="s">
        <v>10</v>
      </c>
      <c r="F201" s="5">
        <v>45641</v>
      </c>
      <c r="G201" s="1">
        <v>12</v>
      </c>
    </row>
    <row r="202" spans="1:7">
      <c r="A202" s="4">
        <v>-100</v>
      </c>
      <c r="B202" s="1" t="s">
        <v>7</v>
      </c>
      <c r="C202" s="1" t="s">
        <v>8</v>
      </c>
      <c r="D202" s="1" t="s">
        <v>9</v>
      </c>
      <c r="E202" s="1" t="s">
        <v>10</v>
      </c>
      <c r="F202" s="5">
        <v>45644</v>
      </c>
      <c r="G202" s="1">
        <v>12</v>
      </c>
    </row>
    <row r="203" spans="1:7">
      <c r="A203" s="4">
        <v>500</v>
      </c>
      <c r="B203" s="1" t="s">
        <v>26</v>
      </c>
      <c r="C203" s="1" t="s">
        <v>28</v>
      </c>
      <c r="D203" s="1" t="s">
        <v>33</v>
      </c>
      <c r="E203" s="1" t="s">
        <v>12</v>
      </c>
      <c r="F203" s="5">
        <v>45648</v>
      </c>
      <c r="G203" s="1">
        <v>12</v>
      </c>
    </row>
    <row r="204" spans="1:7">
      <c r="A204" s="4">
        <v>-100</v>
      </c>
      <c r="B204" s="1" t="s">
        <v>26</v>
      </c>
      <c r="C204" s="1" t="s">
        <v>28</v>
      </c>
      <c r="D204" s="1" t="s">
        <v>22</v>
      </c>
      <c r="E204" s="1" t="s">
        <v>10</v>
      </c>
      <c r="F204" s="5">
        <v>45649</v>
      </c>
      <c r="G204" s="1">
        <v>12</v>
      </c>
    </row>
    <row r="205" spans="1:7">
      <c r="A205" s="4">
        <v>1500</v>
      </c>
      <c r="B205" s="1" t="s">
        <v>26</v>
      </c>
      <c r="C205" s="1" t="s">
        <v>28</v>
      </c>
      <c r="D205" s="1" t="s">
        <v>33</v>
      </c>
      <c r="E205" s="1" t="s">
        <v>12</v>
      </c>
      <c r="F205" s="5">
        <v>45650</v>
      </c>
      <c r="G205" s="1">
        <v>12</v>
      </c>
    </row>
    <row r="206" spans="1:7">
      <c r="A206" s="4">
        <v>-500</v>
      </c>
      <c r="B206" s="1" t="s">
        <v>26</v>
      </c>
      <c r="C206" s="1" t="s">
        <v>28</v>
      </c>
      <c r="D206" s="1" t="s">
        <v>19</v>
      </c>
      <c r="E206" s="1" t="s">
        <v>10</v>
      </c>
      <c r="F206" s="5">
        <v>45654</v>
      </c>
      <c r="G206" s="1">
        <v>12</v>
      </c>
    </row>
    <row r="207" spans="1:7">
      <c r="A207" s="4">
        <v>-300</v>
      </c>
      <c r="B207" s="1" t="s">
        <v>26</v>
      </c>
      <c r="C207" s="1" t="s">
        <v>28</v>
      </c>
      <c r="D207" s="1" t="s">
        <v>9</v>
      </c>
      <c r="E207" s="1" t="s">
        <v>10</v>
      </c>
      <c r="F207" s="5">
        <v>45656</v>
      </c>
      <c r="G207" s="1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zoomScale="160" zoomScaleNormal="160" topLeftCell="A7" workbookViewId="0">
      <selection activeCell="G9" sqref="G9"/>
    </sheetView>
  </sheetViews>
  <sheetFormatPr defaultColWidth="9" defaultRowHeight="14.4"/>
  <cols>
    <col min="1" max="1" width="16" customWidth="1"/>
    <col min="2" max="2" width="8.33333333333333" customWidth="1"/>
    <col min="4" max="4" width="10.6666666666667" customWidth="1"/>
    <col min="5" max="5" width="18.5555555555556" customWidth="1"/>
    <col min="8" max="8" width="15.4444444444444" customWidth="1"/>
    <col min="9" max="9" width="17.5555555555556" customWidth="1"/>
  </cols>
  <sheetData>
    <row r="1" spans="1:10">
      <c r="A1" s="1" t="s">
        <v>35</v>
      </c>
      <c r="B1" s="1" t="s">
        <v>36</v>
      </c>
      <c r="D1" s="1" t="s">
        <v>1</v>
      </c>
      <c r="E1" s="1" t="s">
        <v>37</v>
      </c>
      <c r="H1" s="1" t="s">
        <v>38</v>
      </c>
      <c r="I1" s="1" t="s">
        <v>39</v>
      </c>
      <c r="J1" s="1" t="s">
        <v>40</v>
      </c>
    </row>
    <row r="2" spans="1:10">
      <c r="A2" s="1" t="s">
        <v>41</v>
      </c>
      <c r="B2" s="1" t="s">
        <v>42</v>
      </c>
      <c r="D2" s="1" t="s">
        <v>38</v>
      </c>
      <c r="E2" s="1" t="s">
        <v>43</v>
      </c>
      <c r="H2" s="1" t="s">
        <v>43</v>
      </c>
      <c r="I2" s="1" t="s">
        <v>43</v>
      </c>
      <c r="J2" s="1" t="s">
        <v>44</v>
      </c>
    </row>
    <row r="3" spans="1:10">
      <c r="A3" s="1" t="s">
        <v>45</v>
      </c>
      <c r="B3" s="1" t="s">
        <v>42</v>
      </c>
      <c r="D3" s="1" t="s">
        <v>38</v>
      </c>
      <c r="E3" s="1" t="s">
        <v>46</v>
      </c>
      <c r="H3" s="1" t="s">
        <v>46</v>
      </c>
      <c r="I3" s="1" t="s">
        <v>47</v>
      </c>
      <c r="J3" s="1" t="s">
        <v>48</v>
      </c>
    </row>
    <row r="4" spans="1:9">
      <c r="A4" s="1" t="s">
        <v>49</v>
      </c>
      <c r="B4" s="1" t="s">
        <v>42</v>
      </c>
      <c r="D4" s="1" t="s">
        <v>39</v>
      </c>
      <c r="E4" s="1" t="s">
        <v>43</v>
      </c>
      <c r="I4" s="1" t="s">
        <v>50</v>
      </c>
    </row>
    <row r="5" spans="1:5">
      <c r="A5" s="1" t="s">
        <v>51</v>
      </c>
      <c r="B5" s="1" t="s">
        <v>42</v>
      </c>
      <c r="D5" s="1" t="s">
        <v>39</v>
      </c>
      <c r="E5" s="1" t="s">
        <v>47</v>
      </c>
    </row>
    <row r="6" spans="1:5">
      <c r="A6" s="1" t="s">
        <v>52</v>
      </c>
      <c r="B6" s="6" t="s">
        <v>42</v>
      </c>
      <c r="D6" s="1" t="s">
        <v>39</v>
      </c>
      <c r="E6" s="1" t="s">
        <v>50</v>
      </c>
    </row>
    <row r="7" spans="1:5">
      <c r="A7" s="1" t="s">
        <v>53</v>
      </c>
      <c r="B7" s="1" t="s">
        <v>42</v>
      </c>
      <c r="D7" s="1" t="s">
        <v>40</v>
      </c>
      <c r="E7" s="1" t="s">
        <v>44</v>
      </c>
    </row>
    <row r="8" spans="1:5">
      <c r="A8" s="1" t="s">
        <v>54</v>
      </c>
      <c r="B8" s="1" t="s">
        <v>42</v>
      </c>
      <c r="D8" s="1" t="s">
        <v>40</v>
      </c>
      <c r="E8" s="1" t="s">
        <v>48</v>
      </c>
    </row>
    <row r="9" spans="1:2">
      <c r="A9" s="1" t="s">
        <v>55</v>
      </c>
      <c r="B9" s="1" t="s">
        <v>42</v>
      </c>
    </row>
    <row r="10" spans="1:2">
      <c r="A10" s="1" t="s">
        <v>56</v>
      </c>
      <c r="B10" s="1" t="s">
        <v>42</v>
      </c>
    </row>
    <row r="11" spans="1:2">
      <c r="A11" s="1" t="s">
        <v>57</v>
      </c>
      <c r="B11" s="1" t="s">
        <v>58</v>
      </c>
    </row>
    <row r="12" spans="1:2">
      <c r="A12" s="1" t="s">
        <v>59</v>
      </c>
      <c r="B12" s="1" t="s">
        <v>58</v>
      </c>
    </row>
    <row r="13" spans="1:2">
      <c r="A13" s="1" t="s">
        <v>60</v>
      </c>
      <c r="B13" s="1" t="s">
        <v>58</v>
      </c>
    </row>
    <row r="14" spans="1:2">
      <c r="A14" s="1" t="s">
        <v>61</v>
      </c>
      <c r="B14" s="1" t="s">
        <v>58</v>
      </c>
    </row>
    <row r="15" spans="1:2">
      <c r="A15" s="1" t="s">
        <v>62</v>
      </c>
      <c r="B15" s="1" t="s">
        <v>58</v>
      </c>
    </row>
    <row r="16" spans="1:2">
      <c r="A16" s="1" t="s">
        <v>63</v>
      </c>
      <c r="B16" s="1" t="s">
        <v>58</v>
      </c>
    </row>
    <row r="17" spans="1:2">
      <c r="A17" s="1" t="s">
        <v>64</v>
      </c>
      <c r="B17" s="1" t="s">
        <v>64</v>
      </c>
    </row>
  </sheetData>
  <dataValidations count="1">
    <dataValidation type="list" allowBlank="1" showInputMessage="1" showErrorMessage="1" sqref="B2:B17">
      <formula1>"Income, Transfer, Expense"</formula1>
    </dataValidation>
  </dataValidations>
  <pageMargins left="0.7" right="0.7" top="0.75" bottom="0.75" header="0.3" footer="0.3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7"/>
  <sheetViews>
    <sheetView workbookViewId="0">
      <selection activeCell="D1" sqref="D$1:E$1048576"/>
    </sheetView>
  </sheetViews>
  <sheetFormatPr defaultColWidth="9" defaultRowHeight="14.4"/>
  <cols>
    <col min="1" max="1" width="11.8888888888889" customWidth="1"/>
    <col min="2" max="2" width="10.6666666666667" customWidth="1"/>
    <col min="3" max="3" width="18.5555555555556" customWidth="1"/>
    <col min="4" max="4" width="16" customWidth="1"/>
    <col min="5" max="5" width="8.33333333333333" customWidth="1"/>
    <col min="6" max="6" width="11.3333333333333" customWidth="1"/>
    <col min="7" max="7" width="8.66666666666667" customWidth="1"/>
    <col min="10" max="10" width="18.3333333333333" customWidth="1"/>
  </cols>
  <sheetData>
    <row r="1" spans="1:7">
      <c r="A1" s="1" t="s">
        <v>65</v>
      </c>
      <c r="B1" s="1" t="s">
        <v>1</v>
      </c>
      <c r="C1" s="1" t="s">
        <v>37</v>
      </c>
      <c r="D1" s="1" t="s">
        <v>35</v>
      </c>
      <c r="E1" s="1" t="s">
        <v>36</v>
      </c>
      <c r="F1" s="1" t="s">
        <v>66</v>
      </c>
      <c r="G1" s="1" t="s">
        <v>67</v>
      </c>
    </row>
    <row r="2" spans="1:10">
      <c r="A2" s="4">
        <v>-1500</v>
      </c>
      <c r="B2" s="1" t="s">
        <v>39</v>
      </c>
      <c r="C2" s="1" t="s">
        <v>43</v>
      </c>
      <c r="D2" s="1" t="s">
        <v>51</v>
      </c>
      <c r="E2" s="1" t="str">
        <f>_xlfn.XLOOKUP(operations[[#This Row],[Category]],categories[Category],categories[Type],"",0,1)</f>
        <v>Expense</v>
      </c>
      <c r="F2" s="5">
        <v>45296</v>
      </c>
      <c r="G2" s="1">
        <f>MONTH(operations[[#This Row],[Date]])</f>
        <v>1</v>
      </c>
      <c r="J2" t="str" cm="1">
        <f t="array" ref="J2:J4">CHOOSE(MATCH(B2,dictionary!$H$1:$J$1,0),_xlfn._TRO_TRAILING(dictionary!$H$2:$H$8),_xlfn._TRO_TRAILING(dictionary!$I$2:$I$8),_xlfn._TRO_TRAILING(dictionary!$J$2:$J$8))</f>
        <v>Account</v>
      </c>
    </row>
    <row r="3" spans="1:10">
      <c r="A3" s="4">
        <v>4500</v>
      </c>
      <c r="B3" s="1" t="s">
        <v>39</v>
      </c>
      <c r="C3" s="1" t="s">
        <v>43</v>
      </c>
      <c r="D3" s="1" t="s">
        <v>62</v>
      </c>
      <c r="E3" s="1" t="str">
        <f>_xlfn.XLOOKUP(operations[[#This Row],[Category]],categories[Category],categories[Type],"",0,1)</f>
        <v>Income</v>
      </c>
      <c r="F3" s="5">
        <v>45301</v>
      </c>
      <c r="G3" s="1">
        <f>MONTH(operations[[#This Row],[Date]])</f>
        <v>1</v>
      </c>
      <c r="J3" t="str">
        <v>Credit card</v>
      </c>
    </row>
    <row r="4" spans="1:10">
      <c r="A4" s="4">
        <v>-2000</v>
      </c>
      <c r="B4" s="1" t="s">
        <v>39</v>
      </c>
      <c r="C4" s="1" t="s">
        <v>43</v>
      </c>
      <c r="D4" s="1" t="s">
        <v>41</v>
      </c>
      <c r="E4" s="1" t="str">
        <f>_xlfn.XLOOKUP(operations[[#This Row],[Category]],categories[Category],categories[Type],"",0,1)</f>
        <v>Expense</v>
      </c>
      <c r="F4" s="5">
        <v>45302</v>
      </c>
      <c r="G4" s="1">
        <f>MONTH(operations[[#This Row],[Date]])</f>
        <v>1</v>
      </c>
      <c r="J4" t="str">
        <v>Fixed-term deposit</v>
      </c>
    </row>
    <row r="5" spans="1:7">
      <c r="A5" s="4">
        <v>-45</v>
      </c>
      <c r="B5" s="1" t="s">
        <v>38</v>
      </c>
      <c r="C5" s="1" t="s">
        <v>43</v>
      </c>
      <c r="D5" s="1" t="s">
        <v>51</v>
      </c>
      <c r="E5" s="1" t="str">
        <f>_xlfn.XLOOKUP(operations[[#This Row],[Category]],categories[Category],categories[Type],"",0,1)</f>
        <v>Expense</v>
      </c>
      <c r="F5" s="5">
        <v>45305</v>
      </c>
      <c r="G5" s="1">
        <f>MONTH(operations[[#This Row],[Date]])</f>
        <v>1</v>
      </c>
    </row>
    <row r="6" spans="1:7">
      <c r="A6" s="4">
        <v>-150</v>
      </c>
      <c r="B6" s="1" t="s">
        <v>39</v>
      </c>
      <c r="C6" s="1" t="s">
        <v>47</v>
      </c>
      <c r="D6" s="1" t="s">
        <v>53</v>
      </c>
      <c r="E6" s="1" t="str">
        <f>_xlfn.XLOOKUP(operations[[#This Row],[Category]],categories[Category],categories[Type],"",0,1)</f>
        <v>Expense</v>
      </c>
      <c r="F6" s="5">
        <v>45306</v>
      </c>
      <c r="G6" s="1">
        <f>MONTH(operations[[#This Row],[Date]])</f>
        <v>1</v>
      </c>
    </row>
    <row r="7" spans="1:16">
      <c r="A7" s="4">
        <v>-120</v>
      </c>
      <c r="B7" s="1" t="s">
        <v>39</v>
      </c>
      <c r="C7" s="1" t="s">
        <v>43</v>
      </c>
      <c r="D7" s="1" t="s">
        <v>51</v>
      </c>
      <c r="E7" s="1" t="str">
        <f>_xlfn.XLOOKUP(operations[[#This Row],[Category]],categories[Category],categories[Type],"",0,1)</f>
        <v>Expense</v>
      </c>
      <c r="F7" s="5">
        <v>45307</v>
      </c>
      <c r="G7" s="1">
        <f>MONTH(operations[[#This Row],[Date]])</f>
        <v>1</v>
      </c>
      <c r="P7" t="str" cm="1">
        <f t="array" ref="P7:P9">CHOOSE(MATCH(B2,dictionary!$H$1:$J$1,0),_xlfn._TRO_TRAILING(dictionary!$H$2:$H$8),_xlfn._TRO_TRAILING(dictionary!$I$2:$I$8),_xlfn._TRO_TRAILING(dictionary!$J$2:$J$8))</f>
        <v>Account</v>
      </c>
    </row>
    <row r="8" spans="1:16">
      <c r="A8" s="4">
        <v>500</v>
      </c>
      <c r="B8" s="1" t="s">
        <v>39</v>
      </c>
      <c r="C8" s="1" t="s">
        <v>43</v>
      </c>
      <c r="D8" s="1" t="s">
        <v>61</v>
      </c>
      <c r="E8" s="1" t="str">
        <f>_xlfn.XLOOKUP(operations[[#This Row],[Category]],categories[Category],categories[Type],"",0,1)</f>
        <v>Income</v>
      </c>
      <c r="F8" s="5">
        <v>45308</v>
      </c>
      <c r="G8" s="1">
        <f>MONTH(operations[[#This Row],[Date]])</f>
        <v>1</v>
      </c>
      <c r="P8" t="str">
        <v>Credit card</v>
      </c>
    </row>
    <row r="9" spans="1:16">
      <c r="A9" s="4">
        <v>-500</v>
      </c>
      <c r="B9" s="1" t="s">
        <v>39</v>
      </c>
      <c r="C9" s="1" t="s">
        <v>50</v>
      </c>
      <c r="D9" s="1" t="s">
        <v>54</v>
      </c>
      <c r="E9" s="1" t="str">
        <f>_xlfn.XLOOKUP(operations[[#This Row],[Category]],categories[Category],categories[Type],"",0,1)</f>
        <v>Expense</v>
      </c>
      <c r="F9" s="5">
        <v>45308</v>
      </c>
      <c r="G9" s="1">
        <f>MONTH(operations[[#This Row],[Date]])</f>
        <v>1</v>
      </c>
      <c r="P9" t="str">
        <v>Fixed-term deposit</v>
      </c>
    </row>
    <row r="10" spans="1:7">
      <c r="A10" s="4">
        <v>250</v>
      </c>
      <c r="B10" s="1" t="s">
        <v>38</v>
      </c>
      <c r="C10" s="1" t="s">
        <v>46</v>
      </c>
      <c r="D10" s="1" t="s">
        <v>57</v>
      </c>
      <c r="E10" s="1" t="str">
        <f>_xlfn.XLOOKUP(operations[[#This Row],[Category]],categories[Category],categories[Type],"",0,1)</f>
        <v>Income</v>
      </c>
      <c r="F10" s="5">
        <v>45308</v>
      </c>
      <c r="G10" s="1">
        <f>MONTH(operations[[#This Row],[Date]])</f>
        <v>1</v>
      </c>
    </row>
    <row r="11" spans="1:7">
      <c r="A11" s="4">
        <v>-25</v>
      </c>
      <c r="B11" s="1" t="s">
        <v>39</v>
      </c>
      <c r="C11" s="1" t="s">
        <v>47</v>
      </c>
      <c r="D11" s="1" t="s">
        <v>49</v>
      </c>
      <c r="E11" s="1" t="str">
        <f>_xlfn.XLOOKUP(operations[[#This Row],[Category]],categories[Category],categories[Type],"",0,1)</f>
        <v>Expense</v>
      </c>
      <c r="F11" s="5">
        <v>45310</v>
      </c>
      <c r="G11" s="1">
        <f>MONTH(operations[[#This Row],[Date]])</f>
        <v>1</v>
      </c>
    </row>
    <row r="12" spans="1:7">
      <c r="A12" s="4">
        <v>-80</v>
      </c>
      <c r="B12" s="1" t="s">
        <v>39</v>
      </c>
      <c r="C12" s="1" t="s">
        <v>43</v>
      </c>
      <c r="D12" s="1" t="s">
        <v>56</v>
      </c>
      <c r="E12" s="1" t="str">
        <f>_xlfn.XLOOKUP(operations[[#This Row],[Category]],categories[Category],categories[Type],"",0,1)</f>
        <v>Expense</v>
      </c>
      <c r="F12" s="5">
        <v>45311</v>
      </c>
      <c r="G12" s="1">
        <f>MONTH(operations[[#This Row],[Date]])</f>
        <v>1</v>
      </c>
    </row>
    <row r="13" spans="1:7">
      <c r="A13" s="4">
        <v>150</v>
      </c>
      <c r="B13" s="1" t="s">
        <v>38</v>
      </c>
      <c r="C13" s="1" t="s">
        <v>43</v>
      </c>
      <c r="D13" s="1" t="s">
        <v>61</v>
      </c>
      <c r="E13" s="1" t="str">
        <f>_xlfn.XLOOKUP(operations[[#This Row],[Category]],categories[Category],categories[Type],"",0,1)</f>
        <v>Income</v>
      </c>
      <c r="F13" s="5">
        <v>45312</v>
      </c>
      <c r="G13" s="1">
        <f>MONTH(operations[[#This Row],[Date]])</f>
        <v>1</v>
      </c>
    </row>
    <row r="14" spans="1:7">
      <c r="A14" s="4">
        <v>-80</v>
      </c>
      <c r="B14" s="1" t="s">
        <v>38</v>
      </c>
      <c r="C14" s="1" t="s">
        <v>43</v>
      </c>
      <c r="D14" s="1" t="s">
        <v>45</v>
      </c>
      <c r="E14" s="1" t="str">
        <f>_xlfn.XLOOKUP(operations[[#This Row],[Category]],categories[Category],categories[Type],"",0,1)</f>
        <v>Expense</v>
      </c>
      <c r="F14" s="5">
        <v>45313</v>
      </c>
      <c r="G14" s="1">
        <f>MONTH(operations[[#This Row],[Date]])</f>
        <v>1</v>
      </c>
    </row>
    <row r="15" spans="1:7">
      <c r="A15" s="4">
        <v>-60</v>
      </c>
      <c r="B15" s="1" t="s">
        <v>38</v>
      </c>
      <c r="C15" s="1" t="s">
        <v>43</v>
      </c>
      <c r="D15" s="1" t="s">
        <v>49</v>
      </c>
      <c r="E15" s="1" t="str">
        <f>_xlfn.XLOOKUP(operations[[#This Row],[Category]],categories[Category],categories[Type],"",0,1)</f>
        <v>Expense</v>
      </c>
      <c r="F15" s="5">
        <v>45314</v>
      </c>
      <c r="G15" s="1">
        <f>MONTH(operations[[#This Row],[Date]])</f>
        <v>1</v>
      </c>
    </row>
    <row r="16" spans="1:7">
      <c r="A16" s="4">
        <v>-100</v>
      </c>
      <c r="B16" s="1" t="s">
        <v>39</v>
      </c>
      <c r="C16" s="1" t="s">
        <v>43</v>
      </c>
      <c r="D16" s="1" t="s">
        <v>55</v>
      </c>
      <c r="E16" s="1" t="str">
        <f>_xlfn.XLOOKUP(operations[[#This Row],[Category]],categories[Category],categories[Type],"",0,1)</f>
        <v>Expense</v>
      </c>
      <c r="F16" s="5">
        <v>45315</v>
      </c>
      <c r="G16" s="1">
        <f>MONTH(operations[[#This Row],[Date]])</f>
        <v>1</v>
      </c>
    </row>
    <row r="17" spans="1:7">
      <c r="A17" s="4">
        <v>-50</v>
      </c>
      <c r="B17" s="1" t="s">
        <v>40</v>
      </c>
      <c r="C17" s="1" t="s">
        <v>44</v>
      </c>
      <c r="D17" s="1" t="s">
        <v>51</v>
      </c>
      <c r="E17" s="1" t="str">
        <f>_xlfn.XLOOKUP(operations[[#This Row],[Category]],categories[Category],categories[Type],"",0,1)</f>
        <v>Expense</v>
      </c>
      <c r="F17" s="5">
        <v>45316</v>
      </c>
      <c r="G17" s="1">
        <f>MONTH(operations[[#This Row],[Date]])</f>
        <v>1</v>
      </c>
    </row>
    <row r="18" spans="1:7">
      <c r="A18" s="4">
        <v>150</v>
      </c>
      <c r="B18" s="1" t="s">
        <v>40</v>
      </c>
      <c r="C18" s="1" t="s">
        <v>48</v>
      </c>
      <c r="D18" s="1" t="s">
        <v>61</v>
      </c>
      <c r="E18" s="1" t="str">
        <f>_xlfn.XLOOKUP(operations[[#This Row],[Category]],categories[Category],categories[Type],"",0,1)</f>
        <v>Income</v>
      </c>
      <c r="F18" s="5">
        <v>45316</v>
      </c>
      <c r="G18" s="1">
        <f>MONTH(operations[[#This Row],[Date]])</f>
        <v>1</v>
      </c>
    </row>
    <row r="19" spans="1:7">
      <c r="A19" s="4">
        <v>5.5</v>
      </c>
      <c r="B19" s="1" t="s">
        <v>38</v>
      </c>
      <c r="C19" s="1" t="s">
        <v>46</v>
      </c>
      <c r="D19" s="1" t="s">
        <v>59</v>
      </c>
      <c r="E19" s="1" t="str">
        <f>_xlfn.XLOOKUP(operations[[#This Row],[Category]],categories[Category],categories[Type],"",0,1)</f>
        <v>Income</v>
      </c>
      <c r="F19" s="5">
        <v>45317</v>
      </c>
      <c r="G19" s="1">
        <f>MONTH(operations[[#This Row],[Date]])</f>
        <v>1</v>
      </c>
    </row>
    <row r="20" spans="1:7">
      <c r="A20" s="4">
        <v>100</v>
      </c>
      <c r="B20" s="1" t="s">
        <v>39</v>
      </c>
      <c r="C20" s="1" t="s">
        <v>50</v>
      </c>
      <c r="D20" s="1" t="s">
        <v>59</v>
      </c>
      <c r="E20" s="1" t="str">
        <f>_xlfn.XLOOKUP(operations[[#This Row],[Category]],categories[Category],categories[Type],"",0,1)</f>
        <v>Income</v>
      </c>
      <c r="F20" s="5">
        <v>45318</v>
      </c>
      <c r="G20" s="1">
        <f>MONTH(operations[[#This Row],[Date]])</f>
        <v>1</v>
      </c>
    </row>
    <row r="21" spans="1:7">
      <c r="A21" s="4">
        <v>-100</v>
      </c>
      <c r="B21" s="1" t="s">
        <v>39</v>
      </c>
      <c r="C21" s="1" t="s">
        <v>43</v>
      </c>
      <c r="D21" s="1" t="s">
        <v>52</v>
      </c>
      <c r="E21" s="1" t="str">
        <f>_xlfn.XLOOKUP(operations[[#This Row],[Category]],categories[Category],categories[Type],"",0,1)</f>
        <v>Expense</v>
      </c>
      <c r="F21" s="5">
        <v>45319</v>
      </c>
      <c r="G21" s="1">
        <f>MONTH(operations[[#This Row],[Date]])</f>
        <v>1</v>
      </c>
    </row>
    <row r="22" spans="1:7">
      <c r="A22" s="4">
        <v>200</v>
      </c>
      <c r="B22" s="1" t="s">
        <v>38</v>
      </c>
      <c r="C22" s="1" t="s">
        <v>43</v>
      </c>
      <c r="D22" s="1" t="s">
        <v>61</v>
      </c>
      <c r="E22" s="1" t="str">
        <f>_xlfn.XLOOKUP(operations[[#This Row],[Category]],categories[Category],categories[Type],"",0,1)</f>
        <v>Income</v>
      </c>
      <c r="F22" s="5">
        <v>45324</v>
      </c>
      <c r="G22" s="1">
        <f>MONTH(operations[[#This Row],[Date]])</f>
        <v>2</v>
      </c>
    </row>
    <row r="23" spans="1:7">
      <c r="A23" s="4">
        <v>-15</v>
      </c>
      <c r="B23" s="1" t="s">
        <v>38</v>
      </c>
      <c r="C23" s="1" t="s">
        <v>43</v>
      </c>
      <c r="D23" s="1" t="s">
        <v>54</v>
      </c>
      <c r="E23" s="1" t="str">
        <f>_xlfn.XLOOKUP(operations[[#This Row],[Category]],categories[Category],categories[Type],"",0,1)</f>
        <v>Expense</v>
      </c>
      <c r="F23" s="5">
        <v>45326</v>
      </c>
      <c r="G23" s="1">
        <f>MONTH(operations[[#This Row],[Date]])</f>
        <v>2</v>
      </c>
    </row>
    <row r="24" spans="1:7">
      <c r="A24" s="4">
        <v>-5.5</v>
      </c>
      <c r="B24" s="1" t="s">
        <v>39</v>
      </c>
      <c r="C24" s="1" t="s">
        <v>43</v>
      </c>
      <c r="D24" s="1" t="s">
        <v>51</v>
      </c>
      <c r="E24" s="1" t="str">
        <f>_xlfn.XLOOKUP(operations[[#This Row],[Category]],categories[Category],categories[Type],"",0,1)</f>
        <v>Expense</v>
      </c>
      <c r="F24" s="5">
        <v>45328</v>
      </c>
      <c r="G24" s="1">
        <f>MONTH(operations[[#This Row],[Date]])</f>
        <v>2</v>
      </c>
    </row>
    <row r="25" spans="1:7">
      <c r="A25" s="4">
        <v>4500</v>
      </c>
      <c r="B25" s="1" t="s">
        <v>39</v>
      </c>
      <c r="C25" s="1" t="s">
        <v>43</v>
      </c>
      <c r="D25" s="1" t="s">
        <v>62</v>
      </c>
      <c r="E25" s="1" t="str">
        <f>_xlfn.XLOOKUP(operations[[#This Row],[Category]],categories[Category],categories[Type],"",0,1)</f>
        <v>Income</v>
      </c>
      <c r="F25" s="5">
        <v>45332</v>
      </c>
      <c r="G25" s="1">
        <f>MONTH(operations[[#This Row],[Date]])</f>
        <v>2</v>
      </c>
    </row>
    <row r="26" spans="1:7">
      <c r="A26" s="4">
        <v>-2000</v>
      </c>
      <c r="B26" s="1" t="s">
        <v>39</v>
      </c>
      <c r="C26" s="1" t="s">
        <v>43</v>
      </c>
      <c r="D26" s="1" t="s">
        <v>41</v>
      </c>
      <c r="E26" s="1" t="str">
        <f>_xlfn.XLOOKUP(operations[[#This Row],[Category]],categories[Category],categories[Type],"",0,1)</f>
        <v>Expense</v>
      </c>
      <c r="F26" s="5">
        <v>45333</v>
      </c>
      <c r="G26" s="1">
        <f>MONTH(operations[[#This Row],[Date]])</f>
        <v>2</v>
      </c>
    </row>
    <row r="27" spans="1:7">
      <c r="A27" s="4">
        <v>-150</v>
      </c>
      <c r="B27" s="1" t="s">
        <v>39</v>
      </c>
      <c r="C27" s="1" t="s">
        <v>43</v>
      </c>
      <c r="D27" s="1" t="s">
        <v>49</v>
      </c>
      <c r="E27" s="1" t="str">
        <f>_xlfn.XLOOKUP(operations[[#This Row],[Category]],categories[Category],categories[Type],"",0,1)</f>
        <v>Expense</v>
      </c>
      <c r="F27" s="5">
        <v>45335</v>
      </c>
      <c r="G27" s="1">
        <f>MONTH(operations[[#This Row],[Date]])</f>
        <v>2</v>
      </c>
    </row>
    <row r="28" spans="1:7">
      <c r="A28" s="4">
        <v>500</v>
      </c>
      <c r="B28" s="1" t="s">
        <v>39</v>
      </c>
      <c r="C28" s="1" t="s">
        <v>43</v>
      </c>
      <c r="D28" s="1" t="s">
        <v>61</v>
      </c>
      <c r="E28" s="1" t="str">
        <f>_xlfn.XLOOKUP(operations[[#This Row],[Category]],categories[Category],categories[Type],"",0,1)</f>
        <v>Income</v>
      </c>
      <c r="F28" s="5">
        <v>45336</v>
      </c>
      <c r="G28" s="1">
        <f>MONTH(operations[[#This Row],[Date]])</f>
        <v>2</v>
      </c>
    </row>
    <row r="29" spans="1:7">
      <c r="A29" s="4">
        <v>-300</v>
      </c>
      <c r="B29" s="1" t="s">
        <v>39</v>
      </c>
      <c r="C29" s="1" t="s">
        <v>43</v>
      </c>
      <c r="D29" s="1" t="s">
        <v>51</v>
      </c>
      <c r="E29" s="1" t="str">
        <f>_xlfn.XLOOKUP(operations[[#This Row],[Category]],categories[Category],categories[Type],"",0,1)</f>
        <v>Expense</v>
      </c>
      <c r="F29" s="5">
        <v>45336</v>
      </c>
      <c r="G29" s="1">
        <f>MONTH(operations[[#This Row],[Date]])</f>
        <v>2</v>
      </c>
    </row>
    <row r="30" spans="1:7">
      <c r="A30" s="4">
        <v>-500</v>
      </c>
      <c r="B30" s="1" t="s">
        <v>39</v>
      </c>
      <c r="C30" s="1" t="s">
        <v>50</v>
      </c>
      <c r="D30" s="1" t="s">
        <v>54</v>
      </c>
      <c r="E30" s="1" t="str">
        <f>_xlfn.XLOOKUP(operations[[#This Row],[Category]],categories[Category],categories[Type],"",0,1)</f>
        <v>Expense</v>
      </c>
      <c r="F30" s="5">
        <v>45336</v>
      </c>
      <c r="G30" s="1">
        <f>MONTH(operations[[#This Row],[Date]])</f>
        <v>2</v>
      </c>
    </row>
    <row r="31" spans="1:7">
      <c r="A31" s="4">
        <v>-200</v>
      </c>
      <c r="B31" s="1" t="s">
        <v>40</v>
      </c>
      <c r="C31" s="1" t="s">
        <v>48</v>
      </c>
      <c r="D31" s="1" t="s">
        <v>54</v>
      </c>
      <c r="E31" s="1" t="str">
        <f>_xlfn.XLOOKUP(operations[[#This Row],[Category]],categories[Category],categories[Type],"",0,1)</f>
        <v>Expense</v>
      </c>
      <c r="F31" s="5">
        <v>45336</v>
      </c>
      <c r="G31" s="1">
        <f>MONTH(operations[[#This Row],[Date]])</f>
        <v>2</v>
      </c>
    </row>
    <row r="32" spans="1:7">
      <c r="A32" s="4">
        <v>175</v>
      </c>
      <c r="B32" s="1" t="s">
        <v>39</v>
      </c>
      <c r="C32" s="1" t="s">
        <v>47</v>
      </c>
      <c r="D32" s="1" t="s">
        <v>64</v>
      </c>
      <c r="E32" s="1" t="str">
        <f>_xlfn.XLOOKUP(operations[[#This Row],[Category]],categories[Category],categories[Type],"",0,1)</f>
        <v>Transfer</v>
      </c>
      <c r="F32" s="5">
        <v>45337</v>
      </c>
      <c r="G32" s="1">
        <f>MONTH(operations[[#This Row],[Date]])</f>
        <v>2</v>
      </c>
    </row>
    <row r="33" spans="1:7">
      <c r="A33" s="4">
        <v>-175</v>
      </c>
      <c r="B33" s="1" t="s">
        <v>39</v>
      </c>
      <c r="C33" s="1" t="s">
        <v>43</v>
      </c>
      <c r="D33" s="1" t="s">
        <v>64</v>
      </c>
      <c r="E33" s="1" t="str">
        <f>_xlfn.XLOOKUP(operations[[#This Row],[Category]],categories[Category],categories[Type],"",0,1)</f>
        <v>Transfer</v>
      </c>
      <c r="F33" s="5">
        <v>45337</v>
      </c>
      <c r="G33" s="1">
        <f>MONTH(operations[[#This Row],[Date]])</f>
        <v>2</v>
      </c>
    </row>
    <row r="34" spans="1:7">
      <c r="A34" s="4">
        <v>-100</v>
      </c>
      <c r="B34" s="1" t="s">
        <v>39</v>
      </c>
      <c r="C34" s="1" t="s">
        <v>43</v>
      </c>
      <c r="D34" s="1" t="s">
        <v>55</v>
      </c>
      <c r="E34" s="1" t="str">
        <f>_xlfn.XLOOKUP(operations[[#This Row],[Category]],categories[Category],categories[Type],"",0,1)</f>
        <v>Expense</v>
      </c>
      <c r="F34" s="5">
        <v>45339</v>
      </c>
      <c r="G34" s="1">
        <f>MONTH(operations[[#This Row],[Date]])</f>
        <v>2</v>
      </c>
    </row>
    <row r="35" spans="1:7">
      <c r="A35" s="4">
        <v>-80</v>
      </c>
      <c r="B35" s="1" t="s">
        <v>39</v>
      </c>
      <c r="C35" s="1" t="s">
        <v>43</v>
      </c>
      <c r="D35" s="1" t="s">
        <v>56</v>
      </c>
      <c r="E35" s="1" t="str">
        <f>_xlfn.XLOOKUP(operations[[#This Row],[Category]],categories[Category],categories[Type],"",0,1)</f>
        <v>Expense</v>
      </c>
      <c r="F35" s="5">
        <v>45342</v>
      </c>
      <c r="G35" s="1">
        <f>MONTH(operations[[#This Row],[Date]])</f>
        <v>2</v>
      </c>
    </row>
    <row r="36" spans="1:7">
      <c r="A36" s="4">
        <v>150</v>
      </c>
      <c r="B36" s="1" t="s">
        <v>40</v>
      </c>
      <c r="C36" s="1" t="s">
        <v>48</v>
      </c>
      <c r="D36" s="1" t="s">
        <v>61</v>
      </c>
      <c r="E36" s="1" t="str">
        <f>_xlfn.XLOOKUP(operations[[#This Row],[Category]],categories[Category],categories[Type],"",0,1)</f>
        <v>Income</v>
      </c>
      <c r="F36" s="5">
        <v>45344</v>
      </c>
      <c r="G36" s="1">
        <f>MONTH(operations[[#This Row],[Date]])</f>
        <v>2</v>
      </c>
    </row>
    <row r="37" spans="1:7">
      <c r="A37" s="4">
        <v>100</v>
      </c>
      <c r="B37" s="1" t="s">
        <v>40</v>
      </c>
      <c r="C37" s="1" t="s">
        <v>44</v>
      </c>
      <c r="D37" s="1" t="s">
        <v>61</v>
      </c>
      <c r="E37" s="1" t="str">
        <f>_xlfn.XLOOKUP(operations[[#This Row],[Category]],categories[Category],categories[Type],"",0,1)</f>
        <v>Income</v>
      </c>
      <c r="F37" s="5">
        <v>45345</v>
      </c>
      <c r="G37" s="1">
        <f>MONTH(operations[[#This Row],[Date]])</f>
        <v>2</v>
      </c>
    </row>
    <row r="38" spans="1:7">
      <c r="A38" s="4">
        <v>-200</v>
      </c>
      <c r="B38" s="1" t="s">
        <v>40</v>
      </c>
      <c r="C38" s="1" t="s">
        <v>48</v>
      </c>
      <c r="D38" s="1" t="s">
        <v>49</v>
      </c>
      <c r="E38" s="1" t="str">
        <f>_xlfn.XLOOKUP(operations[[#This Row],[Category]],categories[Category],categories[Type],"",0,1)</f>
        <v>Expense</v>
      </c>
      <c r="F38" s="5">
        <v>45346</v>
      </c>
      <c r="G38" s="1">
        <f>MONTH(operations[[#This Row],[Date]])</f>
        <v>2</v>
      </c>
    </row>
    <row r="39" spans="1:7">
      <c r="A39" s="4">
        <v>1000</v>
      </c>
      <c r="B39" s="1" t="s">
        <v>40</v>
      </c>
      <c r="C39" s="1" t="s">
        <v>48</v>
      </c>
      <c r="D39" s="1" t="s">
        <v>61</v>
      </c>
      <c r="E39" s="1" t="str">
        <f>_xlfn.XLOOKUP(operations[[#This Row],[Category]],categories[Category],categories[Type],"",0,1)</f>
        <v>Income</v>
      </c>
      <c r="F39" s="5">
        <v>45347</v>
      </c>
      <c r="G39" s="1">
        <f>MONTH(operations[[#This Row],[Date]])</f>
        <v>2</v>
      </c>
    </row>
    <row r="40" spans="1:7">
      <c r="A40" s="4">
        <v>-250</v>
      </c>
      <c r="B40" s="1" t="s">
        <v>40</v>
      </c>
      <c r="C40" s="1" t="s">
        <v>48</v>
      </c>
      <c r="D40" s="1" t="s">
        <v>52</v>
      </c>
      <c r="E40" s="1" t="str">
        <f>_xlfn.XLOOKUP(operations[[#This Row],[Category]],categories[Category],categories[Type],"",0,1)</f>
        <v>Expense</v>
      </c>
      <c r="F40" s="5">
        <v>45347</v>
      </c>
      <c r="G40" s="1">
        <f>MONTH(operations[[#This Row],[Date]])</f>
        <v>2</v>
      </c>
    </row>
    <row r="41" spans="1:7">
      <c r="A41" s="4">
        <v>-100</v>
      </c>
      <c r="B41" s="1" t="s">
        <v>38</v>
      </c>
      <c r="C41" s="1" t="s">
        <v>43</v>
      </c>
      <c r="D41" s="1" t="s">
        <v>51</v>
      </c>
      <c r="E41" s="1" t="str">
        <f>_xlfn.XLOOKUP(operations[[#This Row],[Category]],categories[Category],categories[Type],"",0,1)</f>
        <v>Expense</v>
      </c>
      <c r="F41" s="5">
        <v>45348</v>
      </c>
      <c r="G41" s="1">
        <f>MONTH(operations[[#This Row],[Date]])</f>
        <v>2</v>
      </c>
    </row>
    <row r="42" spans="1:7">
      <c r="A42" s="4">
        <v>-50</v>
      </c>
      <c r="B42" s="1" t="s">
        <v>38</v>
      </c>
      <c r="C42" s="1" t="s">
        <v>43</v>
      </c>
      <c r="D42" s="1" t="s">
        <v>54</v>
      </c>
      <c r="E42" s="1" t="str">
        <f>_xlfn.XLOOKUP(operations[[#This Row],[Category]],categories[Category],categories[Type],"",0,1)</f>
        <v>Expense</v>
      </c>
      <c r="F42" s="5">
        <v>45348</v>
      </c>
      <c r="G42" s="1">
        <f>MONTH(operations[[#This Row],[Date]])</f>
        <v>2</v>
      </c>
    </row>
    <row r="43" spans="1:7">
      <c r="A43" s="4">
        <v>15</v>
      </c>
      <c r="B43" s="1" t="s">
        <v>38</v>
      </c>
      <c r="C43" s="1" t="s">
        <v>46</v>
      </c>
      <c r="D43" s="1" t="s">
        <v>59</v>
      </c>
      <c r="E43" s="1" t="str">
        <f>_xlfn.XLOOKUP(operations[[#This Row],[Category]],categories[Category],categories[Type],"",0,1)</f>
        <v>Income</v>
      </c>
      <c r="F43" s="5">
        <v>45349</v>
      </c>
      <c r="G43" s="1">
        <f>MONTH(operations[[#This Row],[Date]])</f>
        <v>2</v>
      </c>
    </row>
    <row r="44" spans="1:7">
      <c r="A44" s="4">
        <v>-150</v>
      </c>
      <c r="B44" s="1" t="s">
        <v>39</v>
      </c>
      <c r="C44" s="1" t="s">
        <v>43</v>
      </c>
      <c r="D44" s="1" t="s">
        <v>53</v>
      </c>
      <c r="E44" s="1" t="str">
        <f>_xlfn.XLOOKUP(operations[[#This Row],[Category]],categories[Category],categories[Type],"",0,1)</f>
        <v>Expense</v>
      </c>
      <c r="F44" s="5">
        <v>45350</v>
      </c>
      <c r="G44" s="1">
        <f>MONTH(operations[[#This Row],[Date]])</f>
        <v>2</v>
      </c>
    </row>
    <row r="45" spans="1:7">
      <c r="A45" s="4">
        <v>100</v>
      </c>
      <c r="B45" s="1" t="s">
        <v>39</v>
      </c>
      <c r="C45" s="1" t="s">
        <v>50</v>
      </c>
      <c r="D45" s="1" t="s">
        <v>59</v>
      </c>
      <c r="E45" s="1" t="str">
        <f>_xlfn.XLOOKUP(operations[[#This Row],[Category]],categories[Category],categories[Type],"",0,1)</f>
        <v>Income</v>
      </c>
      <c r="F45" s="5">
        <v>45350</v>
      </c>
      <c r="G45" s="1">
        <f>MONTH(operations[[#This Row],[Date]])</f>
        <v>2</v>
      </c>
    </row>
    <row r="46" spans="1:7">
      <c r="A46" s="4">
        <v>-25</v>
      </c>
      <c r="B46" s="1" t="s">
        <v>39</v>
      </c>
      <c r="C46" s="1" t="s">
        <v>47</v>
      </c>
      <c r="D46" s="1" t="s">
        <v>51</v>
      </c>
      <c r="E46" s="1" t="str">
        <f>_xlfn.XLOOKUP(operations[[#This Row],[Category]],categories[Category],categories[Type],"",0,1)</f>
        <v>Expense</v>
      </c>
      <c r="F46" s="5">
        <v>45352</v>
      </c>
      <c r="G46" s="1">
        <f>MONTH(operations[[#This Row],[Date]])</f>
        <v>3</v>
      </c>
    </row>
    <row r="47" spans="1:7">
      <c r="A47" s="4">
        <v>-135.5</v>
      </c>
      <c r="B47" s="1" t="s">
        <v>39</v>
      </c>
      <c r="C47" s="1" t="s">
        <v>43</v>
      </c>
      <c r="D47" s="1" t="s">
        <v>51</v>
      </c>
      <c r="E47" s="1" t="str">
        <f>_xlfn.XLOOKUP(operations[[#This Row],[Category]],categories[Category],categories[Type],"",0,1)</f>
        <v>Expense</v>
      </c>
      <c r="F47" s="5">
        <v>45353</v>
      </c>
      <c r="G47" s="1">
        <f>MONTH(operations[[#This Row],[Date]])</f>
        <v>3</v>
      </c>
    </row>
    <row r="48" spans="1:7">
      <c r="A48" s="4">
        <v>-82.5</v>
      </c>
      <c r="B48" s="1" t="s">
        <v>38</v>
      </c>
      <c r="C48" s="1" t="s">
        <v>43</v>
      </c>
      <c r="D48" s="1" t="s">
        <v>56</v>
      </c>
      <c r="E48" s="1" t="str">
        <f>_xlfn.XLOOKUP(operations[[#This Row],[Category]],categories[Category],categories[Type],"",0,1)</f>
        <v>Expense</v>
      </c>
      <c r="F48" s="5">
        <v>45353</v>
      </c>
      <c r="G48" s="1">
        <f>MONTH(operations[[#This Row],[Date]])</f>
        <v>3</v>
      </c>
    </row>
    <row r="49" spans="1:7">
      <c r="A49" s="4">
        <v>-200</v>
      </c>
      <c r="B49" s="1" t="s">
        <v>39</v>
      </c>
      <c r="C49" s="1" t="s">
        <v>43</v>
      </c>
      <c r="D49" s="1" t="s">
        <v>49</v>
      </c>
      <c r="E49" s="1" t="str">
        <f>_xlfn.XLOOKUP(operations[[#This Row],[Category]],categories[Category],categories[Type],"",0,1)</f>
        <v>Expense</v>
      </c>
      <c r="F49" s="5">
        <v>45355</v>
      </c>
      <c r="G49" s="1">
        <f>MONTH(operations[[#This Row],[Date]])</f>
        <v>3</v>
      </c>
    </row>
    <row r="50" spans="1:7">
      <c r="A50" s="4">
        <v>150</v>
      </c>
      <c r="B50" s="1" t="s">
        <v>38</v>
      </c>
      <c r="C50" s="1" t="s">
        <v>43</v>
      </c>
      <c r="D50" s="1" t="s">
        <v>59</v>
      </c>
      <c r="E50" s="1" t="str">
        <f>_xlfn.XLOOKUP(operations[[#This Row],[Category]],categories[Category],categories[Type],"",0,1)</f>
        <v>Income</v>
      </c>
      <c r="F50" s="5">
        <v>45357</v>
      </c>
      <c r="G50" s="1">
        <f>MONTH(operations[[#This Row],[Date]])</f>
        <v>3</v>
      </c>
    </row>
    <row r="51" spans="1:7">
      <c r="A51" s="4">
        <v>-24.49</v>
      </c>
      <c r="B51" s="1" t="s">
        <v>40</v>
      </c>
      <c r="C51" s="1" t="s">
        <v>44</v>
      </c>
      <c r="D51" s="1" t="s">
        <v>51</v>
      </c>
      <c r="E51" s="1" t="str">
        <f>_xlfn.XLOOKUP(operations[[#This Row],[Category]],categories[Category],categories[Type],"",0,1)</f>
        <v>Expense</v>
      </c>
      <c r="F51" s="5">
        <v>45359</v>
      </c>
      <c r="G51" s="1">
        <f>MONTH(operations[[#This Row],[Date]])</f>
        <v>3</v>
      </c>
    </row>
    <row r="52" spans="1:7">
      <c r="A52" s="4">
        <v>4500</v>
      </c>
      <c r="B52" s="1" t="s">
        <v>39</v>
      </c>
      <c r="C52" s="1" t="s">
        <v>43</v>
      </c>
      <c r="D52" s="1" t="s">
        <v>62</v>
      </c>
      <c r="E52" s="1" t="str">
        <f>_xlfn.XLOOKUP(operations[[#This Row],[Category]],categories[Category],categories[Type],"",0,1)</f>
        <v>Income</v>
      </c>
      <c r="F52" s="5">
        <v>45361</v>
      </c>
      <c r="G52" s="1">
        <f>MONTH(operations[[#This Row],[Date]])</f>
        <v>3</v>
      </c>
    </row>
    <row r="53" spans="1:7">
      <c r="A53" s="4">
        <v>-2000</v>
      </c>
      <c r="B53" s="1" t="s">
        <v>39</v>
      </c>
      <c r="C53" s="1" t="s">
        <v>43</v>
      </c>
      <c r="D53" s="1" t="s">
        <v>41</v>
      </c>
      <c r="E53" s="1" t="str">
        <f>_xlfn.XLOOKUP(operations[[#This Row],[Category]],categories[Category],categories[Type],"",0,1)</f>
        <v>Expense</v>
      </c>
      <c r="F53" s="5">
        <v>45362</v>
      </c>
      <c r="G53" s="1">
        <f>MONTH(operations[[#This Row],[Date]])</f>
        <v>3</v>
      </c>
    </row>
    <row r="54" spans="1:7">
      <c r="A54" s="4">
        <v>-200</v>
      </c>
      <c r="B54" s="1" t="s">
        <v>39</v>
      </c>
      <c r="C54" s="1" t="s">
        <v>43</v>
      </c>
      <c r="D54" s="1" t="s">
        <v>51</v>
      </c>
      <c r="E54" s="1" t="str">
        <f>_xlfn.XLOOKUP(operations[[#This Row],[Category]],categories[Category],categories[Type],"",0,1)</f>
        <v>Expense</v>
      </c>
      <c r="F54" s="5">
        <v>45363</v>
      </c>
      <c r="G54" s="1">
        <f>MONTH(operations[[#This Row],[Date]])</f>
        <v>3</v>
      </c>
    </row>
    <row r="55" spans="1:7">
      <c r="A55" s="4">
        <v>-469.9</v>
      </c>
      <c r="B55" s="1" t="s">
        <v>39</v>
      </c>
      <c r="C55" s="1" t="s">
        <v>43</v>
      </c>
      <c r="D55" s="1" t="s">
        <v>45</v>
      </c>
      <c r="E55" s="1" t="str">
        <f>_xlfn.XLOOKUP(operations[[#This Row],[Category]],categories[Category],categories[Type],"",0,1)</f>
        <v>Expense</v>
      </c>
      <c r="F55" s="5">
        <v>45364</v>
      </c>
      <c r="G55" s="1">
        <f>MONTH(operations[[#This Row],[Date]])</f>
        <v>3</v>
      </c>
    </row>
    <row r="56" spans="1:7">
      <c r="A56" s="4">
        <v>-9.5</v>
      </c>
      <c r="B56" s="1" t="s">
        <v>40</v>
      </c>
      <c r="C56" s="1" t="s">
        <v>48</v>
      </c>
      <c r="D56" s="1" t="s">
        <v>52</v>
      </c>
      <c r="E56" s="1" t="str">
        <f>_xlfn.XLOOKUP(operations[[#This Row],[Category]],categories[Category],categories[Type],"",0,1)</f>
        <v>Expense</v>
      </c>
      <c r="F56" s="5">
        <v>45368</v>
      </c>
      <c r="G56" s="1">
        <f>MONTH(operations[[#This Row],[Date]])</f>
        <v>3</v>
      </c>
    </row>
    <row r="57" spans="1:7">
      <c r="A57" s="4">
        <v>-23</v>
      </c>
      <c r="B57" s="1" t="s">
        <v>39</v>
      </c>
      <c r="C57" s="1" t="s">
        <v>43</v>
      </c>
      <c r="D57" s="1" t="s">
        <v>53</v>
      </c>
      <c r="E57" s="1" t="str">
        <f>_xlfn.XLOOKUP(operations[[#This Row],[Category]],categories[Category],categories[Type],"",0,1)</f>
        <v>Expense</v>
      </c>
      <c r="F57" s="5">
        <v>45371</v>
      </c>
      <c r="G57" s="1">
        <f>MONTH(operations[[#This Row],[Date]])</f>
        <v>3</v>
      </c>
    </row>
    <row r="58" spans="1:7">
      <c r="A58" s="4">
        <v>-150</v>
      </c>
      <c r="B58" s="1" t="s">
        <v>39</v>
      </c>
      <c r="C58" s="1" t="s">
        <v>43</v>
      </c>
      <c r="D58" s="1" t="s">
        <v>51</v>
      </c>
      <c r="E58" s="1" t="str">
        <f>_xlfn.XLOOKUP(operations[[#This Row],[Category]],categories[Category],categories[Type],"",0,1)</f>
        <v>Expense</v>
      </c>
      <c r="F58" s="5">
        <v>45373</v>
      </c>
      <c r="G58" s="1">
        <f>MONTH(operations[[#This Row],[Date]])</f>
        <v>3</v>
      </c>
    </row>
    <row r="59" spans="1:7">
      <c r="A59" s="4">
        <v>-300</v>
      </c>
      <c r="B59" s="1" t="s">
        <v>39</v>
      </c>
      <c r="C59" s="1" t="s">
        <v>43</v>
      </c>
      <c r="D59" s="1" t="s">
        <v>54</v>
      </c>
      <c r="E59" s="1" t="str">
        <f>_xlfn.XLOOKUP(operations[[#This Row],[Category]],categories[Category],categories[Type],"",0,1)</f>
        <v>Expense</v>
      </c>
      <c r="F59" s="5">
        <v>45375</v>
      </c>
      <c r="G59" s="1">
        <f>MONTH(operations[[#This Row],[Date]])</f>
        <v>3</v>
      </c>
    </row>
    <row r="60" spans="1:7">
      <c r="A60" s="4">
        <v>5</v>
      </c>
      <c r="B60" s="1" t="s">
        <v>38</v>
      </c>
      <c r="C60" s="1" t="s">
        <v>46</v>
      </c>
      <c r="D60" s="1" t="s">
        <v>60</v>
      </c>
      <c r="E60" s="1" t="str">
        <f>_xlfn.XLOOKUP(operations[[#This Row],[Category]],categories[Category],categories[Type],"",0,1)</f>
        <v>Income</v>
      </c>
      <c r="F60" s="5">
        <v>45377</v>
      </c>
      <c r="G60" s="1">
        <f>MONTH(operations[[#This Row],[Date]])</f>
        <v>3</v>
      </c>
    </row>
    <row r="61" spans="1:7">
      <c r="A61" s="4">
        <v>-79.5</v>
      </c>
      <c r="B61" s="1" t="s">
        <v>39</v>
      </c>
      <c r="C61" s="1" t="s">
        <v>47</v>
      </c>
      <c r="D61" s="1" t="s">
        <v>55</v>
      </c>
      <c r="E61" s="1" t="str">
        <f>_xlfn.XLOOKUP(operations[[#This Row],[Category]],categories[Category],categories[Type],"",0,1)</f>
        <v>Expense</v>
      </c>
      <c r="F61" s="5">
        <v>45379</v>
      </c>
      <c r="G61" s="1">
        <f>MONTH(operations[[#This Row],[Date]])</f>
        <v>3</v>
      </c>
    </row>
    <row r="62" spans="1:7">
      <c r="A62" s="4">
        <v>-200</v>
      </c>
      <c r="B62" s="1" t="s">
        <v>39</v>
      </c>
      <c r="C62" s="1" t="s">
        <v>43</v>
      </c>
      <c r="D62" s="1" t="s">
        <v>51</v>
      </c>
      <c r="E62" s="1" t="str">
        <f>_xlfn.XLOOKUP(operations[[#This Row],[Category]],categories[Category],categories[Type],"",0,1)</f>
        <v>Expense</v>
      </c>
      <c r="F62" s="5">
        <v>45381</v>
      </c>
      <c r="G62" s="1">
        <f>MONTH(operations[[#This Row],[Date]])</f>
        <v>3</v>
      </c>
    </row>
    <row r="63" spans="1:7">
      <c r="A63" s="4">
        <v>-23.5</v>
      </c>
      <c r="B63" s="1" t="s">
        <v>39</v>
      </c>
      <c r="C63" s="1" t="s">
        <v>47</v>
      </c>
      <c r="D63" s="1" t="s">
        <v>52</v>
      </c>
      <c r="E63" s="1" t="str">
        <f>_xlfn.XLOOKUP(operations[[#This Row],[Category]],categories[Category],categories[Type],"",0,1)</f>
        <v>Expense</v>
      </c>
      <c r="F63" s="5">
        <v>45383</v>
      </c>
      <c r="G63" s="1">
        <f>MONTH(operations[[#This Row],[Date]])</f>
        <v>4</v>
      </c>
    </row>
    <row r="64" spans="1:7">
      <c r="A64" s="4">
        <v>-82.5</v>
      </c>
      <c r="B64" s="1" t="s">
        <v>39</v>
      </c>
      <c r="C64" s="1" t="s">
        <v>43</v>
      </c>
      <c r="D64" s="1" t="s">
        <v>56</v>
      </c>
      <c r="E64" s="1" t="str">
        <f>_xlfn.XLOOKUP(operations[[#This Row],[Category]],categories[Category],categories[Type],"",0,1)</f>
        <v>Expense</v>
      </c>
      <c r="F64" s="5">
        <v>45384</v>
      </c>
      <c r="G64" s="1">
        <f>MONTH(operations[[#This Row],[Date]])</f>
        <v>4</v>
      </c>
    </row>
    <row r="65" spans="1:7">
      <c r="A65" s="4">
        <v>150</v>
      </c>
      <c r="B65" s="1" t="s">
        <v>38</v>
      </c>
      <c r="C65" s="1" t="s">
        <v>43</v>
      </c>
      <c r="D65" s="1" t="s">
        <v>59</v>
      </c>
      <c r="E65" s="1" t="str">
        <f>_xlfn.XLOOKUP(operations[[#This Row],[Category]],categories[Category],categories[Type],"",0,1)</f>
        <v>Income</v>
      </c>
      <c r="F65" s="5">
        <v>45388</v>
      </c>
      <c r="G65" s="1">
        <f>MONTH(operations[[#This Row],[Date]])</f>
        <v>4</v>
      </c>
    </row>
    <row r="66" spans="1:7">
      <c r="A66" s="4">
        <v>-99.97</v>
      </c>
      <c r="B66" s="1" t="s">
        <v>39</v>
      </c>
      <c r="C66" s="1" t="s">
        <v>43</v>
      </c>
      <c r="D66" s="1" t="s">
        <v>51</v>
      </c>
      <c r="E66" s="1" t="str">
        <f>_xlfn.XLOOKUP(operations[[#This Row],[Category]],categories[Category],categories[Type],"",0,1)</f>
        <v>Expense</v>
      </c>
      <c r="F66" s="5">
        <v>45389</v>
      </c>
      <c r="G66" s="1">
        <f>MONTH(operations[[#This Row],[Date]])</f>
        <v>4</v>
      </c>
    </row>
    <row r="67" spans="1:7">
      <c r="A67" s="4">
        <v>4500</v>
      </c>
      <c r="B67" s="1" t="s">
        <v>39</v>
      </c>
      <c r="C67" s="1" t="s">
        <v>43</v>
      </c>
      <c r="D67" s="1" t="s">
        <v>62</v>
      </c>
      <c r="E67" s="1" t="str">
        <f>_xlfn.XLOOKUP(operations[[#This Row],[Category]],categories[Category],categories[Type],"",0,1)</f>
        <v>Income</v>
      </c>
      <c r="F67" s="5">
        <v>45392</v>
      </c>
      <c r="G67" s="1">
        <f>MONTH(operations[[#This Row],[Date]])</f>
        <v>4</v>
      </c>
    </row>
    <row r="68" spans="1:7">
      <c r="A68" s="4">
        <v>-2000</v>
      </c>
      <c r="B68" s="1" t="s">
        <v>39</v>
      </c>
      <c r="C68" s="1" t="s">
        <v>43</v>
      </c>
      <c r="D68" s="1" t="s">
        <v>41</v>
      </c>
      <c r="E68" s="1" t="str">
        <f>_xlfn.XLOOKUP(operations[[#This Row],[Category]],categories[Category],categories[Type],"",0,1)</f>
        <v>Expense</v>
      </c>
      <c r="F68" s="5">
        <v>45393</v>
      </c>
      <c r="G68" s="1">
        <f>MONTH(operations[[#This Row],[Date]])</f>
        <v>4</v>
      </c>
    </row>
    <row r="69" spans="1:7">
      <c r="A69" s="4">
        <v>-149</v>
      </c>
      <c r="B69" s="1" t="s">
        <v>39</v>
      </c>
      <c r="C69" s="1" t="s">
        <v>43</v>
      </c>
      <c r="D69" s="1" t="s">
        <v>45</v>
      </c>
      <c r="E69" s="1" t="str">
        <f>_xlfn.XLOOKUP(operations[[#This Row],[Category]],categories[Category],categories[Type],"",0,1)</f>
        <v>Expense</v>
      </c>
      <c r="F69" s="5">
        <v>45395</v>
      </c>
      <c r="G69" s="1">
        <f>MONTH(operations[[#This Row],[Date]])</f>
        <v>4</v>
      </c>
    </row>
    <row r="70" spans="1:7">
      <c r="A70" s="4">
        <v>104.5</v>
      </c>
      <c r="B70" s="1" t="s">
        <v>39</v>
      </c>
      <c r="C70" s="1" t="s">
        <v>47</v>
      </c>
      <c r="D70" s="1" t="s">
        <v>64</v>
      </c>
      <c r="E70" s="1" t="str">
        <f>_xlfn.XLOOKUP(operations[[#This Row],[Category]],categories[Category],categories[Type],"",0,1)</f>
        <v>Transfer</v>
      </c>
      <c r="F70" s="5">
        <v>45397</v>
      </c>
      <c r="G70" s="1">
        <f>MONTH(operations[[#This Row],[Date]])</f>
        <v>4</v>
      </c>
    </row>
    <row r="71" spans="1:7">
      <c r="A71" s="4">
        <v>-104.5</v>
      </c>
      <c r="B71" s="1" t="s">
        <v>39</v>
      </c>
      <c r="C71" s="1" t="s">
        <v>43</v>
      </c>
      <c r="D71" s="1" t="s">
        <v>64</v>
      </c>
      <c r="E71" s="1" t="str">
        <f>_xlfn.XLOOKUP(operations[[#This Row],[Category]],categories[Category],categories[Type],"",0,1)</f>
        <v>Transfer</v>
      </c>
      <c r="F71" s="5">
        <v>45397</v>
      </c>
      <c r="G71" s="1">
        <f>MONTH(operations[[#This Row],[Date]])</f>
        <v>4</v>
      </c>
    </row>
    <row r="72" spans="1:7">
      <c r="A72" s="4">
        <v>-49</v>
      </c>
      <c r="B72" s="1" t="s">
        <v>38</v>
      </c>
      <c r="C72" s="1" t="s">
        <v>43</v>
      </c>
      <c r="D72" s="1" t="s">
        <v>53</v>
      </c>
      <c r="E72" s="1" t="str">
        <f>_xlfn.XLOOKUP(operations[[#This Row],[Category]],categories[Category],categories[Type],"",0,1)</f>
        <v>Expense</v>
      </c>
      <c r="F72" s="5">
        <v>45397</v>
      </c>
      <c r="G72" s="1">
        <f>MONTH(operations[[#This Row],[Date]])</f>
        <v>4</v>
      </c>
    </row>
    <row r="73" spans="1:7">
      <c r="A73" s="4">
        <v>-9.99</v>
      </c>
      <c r="B73" s="1" t="s">
        <v>39</v>
      </c>
      <c r="C73" s="1" t="s">
        <v>47</v>
      </c>
      <c r="D73" s="1" t="s">
        <v>51</v>
      </c>
      <c r="E73" s="1" t="str">
        <f>_xlfn.XLOOKUP(operations[[#This Row],[Category]],categories[Category],categories[Type],"",0,1)</f>
        <v>Expense</v>
      </c>
      <c r="F73" s="5">
        <v>45398</v>
      </c>
      <c r="G73" s="1">
        <f>MONTH(operations[[#This Row],[Date]])</f>
        <v>4</v>
      </c>
    </row>
    <row r="74" spans="1:7">
      <c r="A74" s="4">
        <v>-100</v>
      </c>
      <c r="B74" s="1" t="s">
        <v>39</v>
      </c>
      <c r="C74" s="1" t="s">
        <v>43</v>
      </c>
      <c r="D74" s="1" t="s">
        <v>54</v>
      </c>
      <c r="E74" s="1" t="str">
        <f>_xlfn.XLOOKUP(operations[[#This Row],[Category]],categories[Category],categories[Type],"",0,1)</f>
        <v>Expense</v>
      </c>
      <c r="F74" s="5">
        <v>45399</v>
      </c>
      <c r="G74" s="1">
        <f>MONTH(operations[[#This Row],[Date]])</f>
        <v>4</v>
      </c>
    </row>
    <row r="75" spans="1:7">
      <c r="A75" s="4">
        <v>-57.9</v>
      </c>
      <c r="B75" s="1" t="s">
        <v>39</v>
      </c>
      <c r="C75" s="1" t="s">
        <v>47</v>
      </c>
      <c r="D75" s="1" t="s">
        <v>49</v>
      </c>
      <c r="E75" s="1" t="str">
        <f>_xlfn.XLOOKUP(operations[[#This Row],[Category]],categories[Category],categories[Type],"",0,1)</f>
        <v>Expense</v>
      </c>
      <c r="F75" s="5">
        <v>45401</v>
      </c>
      <c r="G75" s="1">
        <f>MONTH(operations[[#This Row],[Date]])</f>
        <v>4</v>
      </c>
    </row>
    <row r="76" spans="1:7">
      <c r="A76" s="4">
        <v>-159.9</v>
      </c>
      <c r="B76" s="1" t="s">
        <v>39</v>
      </c>
      <c r="C76" s="1" t="s">
        <v>43</v>
      </c>
      <c r="D76" s="1" t="s">
        <v>51</v>
      </c>
      <c r="E76" s="1" t="str">
        <f>_xlfn.XLOOKUP(operations[[#This Row],[Category]],categories[Category],categories[Type],"",0,1)</f>
        <v>Expense</v>
      </c>
      <c r="F76" s="5">
        <v>45403</v>
      </c>
      <c r="G76" s="1">
        <f>MONTH(operations[[#This Row],[Date]])</f>
        <v>4</v>
      </c>
    </row>
    <row r="77" spans="1:7">
      <c r="A77" s="4">
        <v>-1000</v>
      </c>
      <c r="B77" s="1" t="s">
        <v>39</v>
      </c>
      <c r="C77" s="1" t="s">
        <v>43</v>
      </c>
      <c r="D77" s="1" t="s">
        <v>49</v>
      </c>
      <c r="E77" s="1" t="str">
        <f>_xlfn.XLOOKUP(operations[[#This Row],[Category]],categories[Category],categories[Type],"",0,1)</f>
        <v>Expense</v>
      </c>
      <c r="F77" s="5">
        <v>45405</v>
      </c>
      <c r="G77" s="1">
        <f>MONTH(operations[[#This Row],[Date]])</f>
        <v>4</v>
      </c>
    </row>
    <row r="78" spans="1:7">
      <c r="A78" s="4">
        <v>50</v>
      </c>
      <c r="B78" s="1" t="s">
        <v>38</v>
      </c>
      <c r="C78" s="1" t="s">
        <v>46</v>
      </c>
      <c r="D78" s="1" t="s">
        <v>60</v>
      </c>
      <c r="E78" s="1" t="str">
        <f>_xlfn.XLOOKUP(operations[[#This Row],[Category]],categories[Category],categories[Type],"",0,1)</f>
        <v>Income</v>
      </c>
      <c r="F78" s="5">
        <v>45407</v>
      </c>
      <c r="G78" s="1">
        <f>MONTH(operations[[#This Row],[Date]])</f>
        <v>4</v>
      </c>
    </row>
    <row r="79" spans="1:7">
      <c r="A79" s="4">
        <v>-69.9</v>
      </c>
      <c r="B79" s="1" t="s">
        <v>39</v>
      </c>
      <c r="C79" s="1" t="s">
        <v>43</v>
      </c>
      <c r="D79" s="1" t="s">
        <v>51</v>
      </c>
      <c r="E79" s="1" t="str">
        <f>_xlfn.XLOOKUP(operations[[#This Row],[Category]],categories[Category],categories[Type],"",0,1)</f>
        <v>Expense</v>
      </c>
      <c r="F79" s="5">
        <v>45409</v>
      </c>
      <c r="G79" s="1">
        <f>MONTH(operations[[#This Row],[Date]])</f>
        <v>4</v>
      </c>
    </row>
    <row r="80" spans="1:7">
      <c r="A80" s="4">
        <v>-32.5</v>
      </c>
      <c r="B80" s="1" t="s">
        <v>39</v>
      </c>
      <c r="C80" s="1" t="s">
        <v>43</v>
      </c>
      <c r="D80" s="1" t="s">
        <v>51</v>
      </c>
      <c r="E80" s="1" t="str">
        <f>_xlfn.XLOOKUP(operations[[#This Row],[Category]],categories[Category],categories[Type],"",0,1)</f>
        <v>Expense</v>
      </c>
      <c r="F80" s="5">
        <v>45410</v>
      </c>
      <c r="G80" s="1">
        <f>MONTH(operations[[#This Row],[Date]])</f>
        <v>4</v>
      </c>
    </row>
    <row r="81" spans="1:7">
      <c r="A81" s="4">
        <v>-139</v>
      </c>
      <c r="B81" s="1" t="s">
        <v>39</v>
      </c>
      <c r="C81" s="1" t="s">
        <v>43</v>
      </c>
      <c r="D81" s="1" t="s">
        <v>55</v>
      </c>
      <c r="E81" s="1" t="str">
        <f>_xlfn.XLOOKUP(operations[[#This Row],[Category]],categories[Category],categories[Type],"",0,1)</f>
        <v>Expense</v>
      </c>
      <c r="F81" s="5">
        <v>45411</v>
      </c>
      <c r="G81" s="1">
        <f>MONTH(operations[[#This Row],[Date]])</f>
        <v>4</v>
      </c>
    </row>
    <row r="82" spans="1:7">
      <c r="A82" s="4">
        <v>-250</v>
      </c>
      <c r="B82" s="1" t="s">
        <v>39</v>
      </c>
      <c r="C82" s="1" t="s">
        <v>47</v>
      </c>
      <c r="D82" s="1" t="s">
        <v>51</v>
      </c>
      <c r="E82" s="1" t="str">
        <f>_xlfn.XLOOKUP(operations[[#This Row],[Category]],categories[Category],categories[Type],"",0,1)</f>
        <v>Expense</v>
      </c>
      <c r="F82" s="5">
        <v>45419</v>
      </c>
      <c r="G82" s="1">
        <f>MONTH(operations[[#This Row],[Date]])</f>
        <v>5</v>
      </c>
    </row>
    <row r="83" spans="1:7">
      <c r="A83" s="4">
        <v>-80</v>
      </c>
      <c r="B83" s="1" t="s">
        <v>39</v>
      </c>
      <c r="C83" s="1" t="s">
        <v>43</v>
      </c>
      <c r="D83" s="1" t="s">
        <v>56</v>
      </c>
      <c r="E83" s="1" t="str">
        <f>_xlfn.XLOOKUP(operations[[#This Row],[Category]],categories[Category],categories[Type],"",0,1)</f>
        <v>Expense</v>
      </c>
      <c r="F83" s="5">
        <v>45422</v>
      </c>
      <c r="G83" s="1">
        <f>MONTH(operations[[#This Row],[Date]])</f>
        <v>5</v>
      </c>
    </row>
    <row r="84" spans="1:7">
      <c r="A84" s="4">
        <v>4500</v>
      </c>
      <c r="B84" s="1" t="s">
        <v>39</v>
      </c>
      <c r="C84" s="1" t="s">
        <v>43</v>
      </c>
      <c r="D84" s="1" t="s">
        <v>62</v>
      </c>
      <c r="E84" s="1" t="str">
        <f>_xlfn.XLOOKUP(operations[[#This Row],[Category]],categories[Category],categories[Type],"",0,1)</f>
        <v>Income</v>
      </c>
      <c r="F84" s="5">
        <v>45422</v>
      </c>
      <c r="G84" s="1">
        <f>MONTH(operations[[#This Row],[Date]])</f>
        <v>5</v>
      </c>
    </row>
    <row r="85" spans="1:7">
      <c r="A85" s="4">
        <v>-2000</v>
      </c>
      <c r="B85" s="1" t="s">
        <v>39</v>
      </c>
      <c r="C85" s="1" t="s">
        <v>43</v>
      </c>
      <c r="D85" s="1" t="s">
        <v>41</v>
      </c>
      <c r="E85" s="1" t="str">
        <f>_xlfn.XLOOKUP(operations[[#This Row],[Category]],categories[Category],categories[Type],"",0,1)</f>
        <v>Expense</v>
      </c>
      <c r="F85" s="5">
        <v>45423</v>
      </c>
      <c r="G85" s="1">
        <f>MONTH(operations[[#This Row],[Date]])</f>
        <v>5</v>
      </c>
    </row>
    <row r="86" spans="1:7">
      <c r="A86" s="4">
        <v>-250</v>
      </c>
      <c r="B86" s="1" t="s">
        <v>39</v>
      </c>
      <c r="C86" s="1" t="s">
        <v>47</v>
      </c>
      <c r="D86" s="1" t="s">
        <v>51</v>
      </c>
      <c r="E86" s="1" t="str">
        <f>_xlfn.XLOOKUP(operations[[#This Row],[Category]],categories[Category],categories[Type],"",0,1)</f>
        <v>Expense</v>
      </c>
      <c r="F86" s="5">
        <v>45426</v>
      </c>
      <c r="G86" s="1">
        <f>MONTH(operations[[#This Row],[Date]])</f>
        <v>5</v>
      </c>
    </row>
    <row r="87" spans="1:7">
      <c r="A87" s="4">
        <v>91.39</v>
      </c>
      <c r="B87" s="1" t="s">
        <v>39</v>
      </c>
      <c r="C87" s="1" t="s">
        <v>47</v>
      </c>
      <c r="D87" s="1" t="s">
        <v>64</v>
      </c>
      <c r="E87" s="1" t="str">
        <f>_xlfn.XLOOKUP(operations[[#This Row],[Category]],categories[Category],categories[Type],"",0,1)</f>
        <v>Transfer</v>
      </c>
      <c r="F87" s="5">
        <v>45427</v>
      </c>
      <c r="G87" s="1">
        <f>MONTH(operations[[#This Row],[Date]])</f>
        <v>5</v>
      </c>
    </row>
    <row r="88" spans="1:7">
      <c r="A88" s="4">
        <v>-91.39</v>
      </c>
      <c r="B88" s="1" t="s">
        <v>39</v>
      </c>
      <c r="C88" s="1" t="s">
        <v>43</v>
      </c>
      <c r="D88" s="1" t="s">
        <v>64</v>
      </c>
      <c r="E88" s="1" t="str">
        <f>_xlfn.XLOOKUP(operations[[#This Row],[Category]],categories[Category],categories[Type],"",0,1)</f>
        <v>Transfer</v>
      </c>
      <c r="F88" s="5">
        <v>45427</v>
      </c>
      <c r="G88" s="1">
        <f>MONTH(operations[[#This Row],[Date]])</f>
        <v>5</v>
      </c>
    </row>
    <row r="89" spans="1:7">
      <c r="A89" s="4">
        <v>-250</v>
      </c>
      <c r="B89" s="1" t="s">
        <v>39</v>
      </c>
      <c r="C89" s="1" t="s">
        <v>47</v>
      </c>
      <c r="D89" s="1" t="s">
        <v>51</v>
      </c>
      <c r="E89" s="1" t="str">
        <f>_xlfn.XLOOKUP(operations[[#This Row],[Category]],categories[Category],categories[Type],"",0,1)</f>
        <v>Expense</v>
      </c>
      <c r="F89" s="5">
        <v>45433</v>
      </c>
      <c r="G89" s="1">
        <f>MONTH(operations[[#This Row],[Date]])</f>
        <v>5</v>
      </c>
    </row>
    <row r="90" spans="1:7">
      <c r="A90" s="4">
        <v>-250</v>
      </c>
      <c r="B90" s="1" t="s">
        <v>39</v>
      </c>
      <c r="C90" s="1" t="s">
        <v>47</v>
      </c>
      <c r="D90" s="1" t="s">
        <v>51</v>
      </c>
      <c r="E90" s="1" t="str">
        <f>_xlfn.XLOOKUP(operations[[#This Row],[Category]],categories[Category],categories[Type],"",0,1)</f>
        <v>Expense</v>
      </c>
      <c r="F90" s="5">
        <v>45440</v>
      </c>
      <c r="G90" s="1">
        <f>MONTH(operations[[#This Row],[Date]])</f>
        <v>5</v>
      </c>
    </row>
    <row r="91" spans="1:7">
      <c r="A91" s="4">
        <v>-50</v>
      </c>
      <c r="B91" s="1" t="s">
        <v>38</v>
      </c>
      <c r="C91" s="1" t="s">
        <v>43</v>
      </c>
      <c r="D91" s="1" t="s">
        <v>53</v>
      </c>
      <c r="E91" s="1" t="str">
        <f>_xlfn.XLOOKUP(operations[[#This Row],[Category]],categories[Category],categories[Type],"",0,1)</f>
        <v>Expense</v>
      </c>
      <c r="F91" s="5">
        <v>45441</v>
      </c>
      <c r="G91" s="1">
        <f>MONTH(operations[[#This Row],[Date]])</f>
        <v>5</v>
      </c>
    </row>
    <row r="92" spans="1:7">
      <c r="A92" s="4">
        <v>-80</v>
      </c>
      <c r="B92" s="1" t="s">
        <v>40</v>
      </c>
      <c r="C92" s="1" t="s">
        <v>48</v>
      </c>
      <c r="D92" s="1" t="s">
        <v>49</v>
      </c>
      <c r="E92" s="1" t="str">
        <f>_xlfn.XLOOKUP(operations[[#This Row],[Category]],categories[Category],categories[Type],"",0,1)</f>
        <v>Expense</v>
      </c>
      <c r="F92" s="5">
        <v>45442</v>
      </c>
      <c r="G92" s="1">
        <f>MONTH(operations[[#This Row],[Date]])</f>
        <v>5</v>
      </c>
    </row>
    <row r="93" spans="1:7">
      <c r="A93" s="4">
        <v>-250</v>
      </c>
      <c r="B93" s="1" t="s">
        <v>39</v>
      </c>
      <c r="C93" s="1" t="s">
        <v>47</v>
      </c>
      <c r="D93" s="1" t="s">
        <v>51</v>
      </c>
      <c r="E93" s="1" t="str">
        <f>_xlfn.XLOOKUP(operations[[#This Row],[Category]],categories[Category],categories[Type],"",0,1)</f>
        <v>Expense</v>
      </c>
      <c r="F93" s="5">
        <v>45450</v>
      </c>
      <c r="G93" s="1">
        <f>MONTH(operations[[#This Row],[Date]])</f>
        <v>6</v>
      </c>
    </row>
    <row r="94" spans="1:7">
      <c r="A94" s="4">
        <v>-80</v>
      </c>
      <c r="B94" s="1" t="s">
        <v>39</v>
      </c>
      <c r="C94" s="1" t="s">
        <v>43</v>
      </c>
      <c r="D94" s="1" t="s">
        <v>56</v>
      </c>
      <c r="E94" s="1" t="str">
        <f>_xlfn.XLOOKUP(operations[[#This Row],[Category]],categories[Category],categories[Type],"",0,1)</f>
        <v>Expense</v>
      </c>
      <c r="F94" s="5">
        <v>45453</v>
      </c>
      <c r="G94" s="1">
        <f>MONTH(operations[[#This Row],[Date]])</f>
        <v>6</v>
      </c>
    </row>
    <row r="95" spans="1:7">
      <c r="A95" s="4">
        <v>4500</v>
      </c>
      <c r="B95" s="1" t="s">
        <v>39</v>
      </c>
      <c r="C95" s="1" t="s">
        <v>43</v>
      </c>
      <c r="D95" s="1" t="s">
        <v>62</v>
      </c>
      <c r="E95" s="1" t="str">
        <f>_xlfn.XLOOKUP(operations[[#This Row],[Category]],categories[Category],categories[Type],"",0,1)</f>
        <v>Income</v>
      </c>
      <c r="F95" s="5">
        <v>45453</v>
      </c>
      <c r="G95" s="1">
        <f>MONTH(operations[[#This Row],[Date]])</f>
        <v>6</v>
      </c>
    </row>
    <row r="96" spans="1:7">
      <c r="A96" s="4">
        <v>-2000</v>
      </c>
      <c r="B96" s="1" t="s">
        <v>39</v>
      </c>
      <c r="C96" s="1" t="s">
        <v>43</v>
      </c>
      <c r="D96" s="1" t="s">
        <v>41</v>
      </c>
      <c r="E96" s="1" t="str">
        <f>_xlfn.XLOOKUP(operations[[#This Row],[Category]],categories[Category],categories[Type],"",0,1)</f>
        <v>Expense</v>
      </c>
      <c r="F96" s="5">
        <v>45454</v>
      </c>
      <c r="G96" s="1">
        <f>MONTH(operations[[#This Row],[Date]])</f>
        <v>6</v>
      </c>
    </row>
    <row r="97" spans="1:7">
      <c r="A97" s="4">
        <v>-250</v>
      </c>
      <c r="B97" s="1" t="s">
        <v>39</v>
      </c>
      <c r="C97" s="1" t="s">
        <v>47</v>
      </c>
      <c r="D97" s="1" t="s">
        <v>51</v>
      </c>
      <c r="E97" s="1" t="str">
        <f>_xlfn.XLOOKUP(operations[[#This Row],[Category]],categories[Category],categories[Type],"",0,1)</f>
        <v>Expense</v>
      </c>
      <c r="F97" s="5">
        <v>45457</v>
      </c>
      <c r="G97" s="1">
        <f>MONTH(operations[[#This Row],[Date]])</f>
        <v>6</v>
      </c>
    </row>
    <row r="98" spans="1:7">
      <c r="A98" s="4">
        <v>1000</v>
      </c>
      <c r="B98" s="1" t="s">
        <v>39</v>
      </c>
      <c r="C98" s="1" t="s">
        <v>47</v>
      </c>
      <c r="D98" s="1" t="s">
        <v>64</v>
      </c>
      <c r="E98" s="1" t="str">
        <f>_xlfn.XLOOKUP(operations[[#This Row],[Category]],categories[Category],categories[Type],"",0,1)</f>
        <v>Transfer</v>
      </c>
      <c r="F98" s="5">
        <v>45458</v>
      </c>
      <c r="G98" s="1">
        <f>MONTH(operations[[#This Row],[Date]])</f>
        <v>6</v>
      </c>
    </row>
    <row r="99" spans="1:7">
      <c r="A99" s="4">
        <v>-1000</v>
      </c>
      <c r="B99" s="1" t="s">
        <v>39</v>
      </c>
      <c r="C99" s="1" t="s">
        <v>43</v>
      </c>
      <c r="D99" s="1" t="s">
        <v>64</v>
      </c>
      <c r="E99" s="1" t="str">
        <f>_xlfn.XLOOKUP(operations[[#This Row],[Category]],categories[Category],categories[Type],"",0,1)</f>
        <v>Transfer</v>
      </c>
      <c r="F99" s="5">
        <v>45458</v>
      </c>
      <c r="G99" s="1">
        <f>MONTH(operations[[#This Row],[Date]])</f>
        <v>6</v>
      </c>
    </row>
    <row r="100" spans="1:7">
      <c r="A100" s="4">
        <v>-100</v>
      </c>
      <c r="B100" s="1" t="s">
        <v>38</v>
      </c>
      <c r="C100" s="1" t="s">
        <v>43</v>
      </c>
      <c r="D100" s="1" t="s">
        <v>52</v>
      </c>
      <c r="E100" s="1" t="str">
        <f>_xlfn.XLOOKUP(operations[[#This Row],[Category]],categories[Category],categories[Type],"",0,1)</f>
        <v>Expense</v>
      </c>
      <c r="F100" s="5">
        <v>45458</v>
      </c>
      <c r="G100" s="1">
        <f>MONTH(operations[[#This Row],[Date]])</f>
        <v>6</v>
      </c>
    </row>
    <row r="101" spans="1:7">
      <c r="A101" s="4">
        <v>-250</v>
      </c>
      <c r="B101" s="1" t="s">
        <v>39</v>
      </c>
      <c r="C101" s="1" t="s">
        <v>47</v>
      </c>
      <c r="D101" s="1" t="s">
        <v>51</v>
      </c>
      <c r="E101" s="1" t="str">
        <f>_xlfn.XLOOKUP(operations[[#This Row],[Category]],categories[Category],categories[Type],"",0,1)</f>
        <v>Expense</v>
      </c>
      <c r="F101" s="5">
        <v>45464</v>
      </c>
      <c r="G101" s="1">
        <f>MONTH(operations[[#This Row],[Date]])</f>
        <v>6</v>
      </c>
    </row>
    <row r="102" spans="1:7">
      <c r="A102" s="4">
        <v>-250</v>
      </c>
      <c r="B102" s="1" t="s">
        <v>39</v>
      </c>
      <c r="C102" s="1" t="s">
        <v>47</v>
      </c>
      <c r="D102" s="1" t="s">
        <v>51</v>
      </c>
      <c r="E102" s="1" t="str">
        <f>_xlfn.XLOOKUP(operations[[#This Row],[Category]],categories[Category],categories[Type],"",0,1)</f>
        <v>Expense</v>
      </c>
      <c r="F102" s="5">
        <v>45471</v>
      </c>
      <c r="G102" s="1">
        <f>MONTH(operations[[#This Row],[Date]])</f>
        <v>6</v>
      </c>
    </row>
    <row r="103" spans="1:7">
      <c r="A103" s="4">
        <v>-300</v>
      </c>
      <c r="B103" s="1" t="s">
        <v>39</v>
      </c>
      <c r="C103" s="1" t="s">
        <v>47</v>
      </c>
      <c r="D103" s="1" t="s">
        <v>45</v>
      </c>
      <c r="E103" s="1" t="str">
        <f>_xlfn.XLOOKUP(operations[[#This Row],[Category]],categories[Category],categories[Type],"",0,1)</f>
        <v>Expense</v>
      </c>
      <c r="F103" s="5">
        <v>45471</v>
      </c>
      <c r="G103" s="1">
        <f>MONTH(operations[[#This Row],[Date]])</f>
        <v>6</v>
      </c>
    </row>
    <row r="104" spans="1:7">
      <c r="A104" s="4">
        <v>-50</v>
      </c>
      <c r="B104" s="1" t="s">
        <v>38</v>
      </c>
      <c r="C104" s="1" t="s">
        <v>43</v>
      </c>
      <c r="D104" s="1" t="s">
        <v>53</v>
      </c>
      <c r="E104" s="1" t="str">
        <f>_xlfn.XLOOKUP(operations[[#This Row],[Category]],categories[Category],categories[Type],"",0,1)</f>
        <v>Expense</v>
      </c>
      <c r="F104" s="5">
        <v>45472</v>
      </c>
      <c r="G104" s="1">
        <f>MONTH(operations[[#This Row],[Date]])</f>
        <v>6</v>
      </c>
    </row>
    <row r="105" spans="1:7">
      <c r="A105" s="4">
        <v>400</v>
      </c>
      <c r="B105" s="1" t="s">
        <v>38</v>
      </c>
      <c r="C105" s="1" t="s">
        <v>43</v>
      </c>
      <c r="D105" s="1" t="s">
        <v>57</v>
      </c>
      <c r="E105" s="1" t="str">
        <f>_xlfn.XLOOKUP(operations[[#This Row],[Category]],categories[Category],categories[Type],"",0,1)</f>
        <v>Income</v>
      </c>
      <c r="F105" s="5">
        <v>45472</v>
      </c>
      <c r="G105" s="1">
        <f>MONTH(operations[[#This Row],[Date]])</f>
        <v>6</v>
      </c>
    </row>
    <row r="106" spans="1:7">
      <c r="A106" s="4">
        <v>-200</v>
      </c>
      <c r="B106" s="1" t="s">
        <v>40</v>
      </c>
      <c r="C106" s="1" t="s">
        <v>48</v>
      </c>
      <c r="D106" s="1" t="s">
        <v>49</v>
      </c>
      <c r="E106" s="1" t="str">
        <f>_xlfn.XLOOKUP(operations[[#This Row],[Category]],categories[Category],categories[Type],"",0,1)</f>
        <v>Expense</v>
      </c>
      <c r="F106" s="5">
        <v>45473</v>
      </c>
      <c r="G106" s="1">
        <f>MONTH(operations[[#This Row],[Date]])</f>
        <v>6</v>
      </c>
    </row>
    <row r="107" spans="1:7">
      <c r="A107" s="4">
        <v>-30</v>
      </c>
      <c r="B107" s="1" t="s">
        <v>40</v>
      </c>
      <c r="C107" s="1" t="s">
        <v>44</v>
      </c>
      <c r="D107" s="1" t="s">
        <v>51</v>
      </c>
      <c r="E107" s="1" t="str">
        <f>_xlfn.XLOOKUP(operations[[#This Row],[Category]],categories[Category],categories[Type],"",0,1)</f>
        <v>Expense</v>
      </c>
      <c r="F107" s="5">
        <v>45476</v>
      </c>
      <c r="G107" s="1">
        <f>MONTH(operations[[#This Row],[Date]])</f>
        <v>7</v>
      </c>
    </row>
    <row r="108" spans="1:7">
      <c r="A108" s="4">
        <v>-100</v>
      </c>
      <c r="B108" s="1" t="s">
        <v>39</v>
      </c>
      <c r="C108" s="1" t="s">
        <v>43</v>
      </c>
      <c r="D108" s="1" t="s">
        <v>49</v>
      </c>
      <c r="E108" s="1" t="str">
        <f>_xlfn.XLOOKUP(operations[[#This Row],[Category]],categories[Category],categories[Type],"",0,1)</f>
        <v>Expense</v>
      </c>
      <c r="F108" s="5">
        <v>45480</v>
      </c>
      <c r="G108" s="1">
        <f>MONTH(operations[[#This Row],[Date]])</f>
        <v>7</v>
      </c>
    </row>
    <row r="109" spans="1:7">
      <c r="A109" s="4">
        <v>4500</v>
      </c>
      <c r="B109" s="1" t="s">
        <v>39</v>
      </c>
      <c r="C109" s="1" t="s">
        <v>43</v>
      </c>
      <c r="D109" s="1" t="s">
        <v>62</v>
      </c>
      <c r="E109" s="1" t="str">
        <f>_xlfn.XLOOKUP(operations[[#This Row],[Category]],categories[Category],categories[Type],"",0,1)</f>
        <v>Income</v>
      </c>
      <c r="F109" s="5">
        <v>45483</v>
      </c>
      <c r="G109" s="1">
        <f>MONTH(operations[[#This Row],[Date]])</f>
        <v>7</v>
      </c>
    </row>
    <row r="110" spans="1:7">
      <c r="A110" s="4">
        <v>-2000</v>
      </c>
      <c r="B110" s="1" t="s">
        <v>39</v>
      </c>
      <c r="C110" s="1" t="s">
        <v>43</v>
      </c>
      <c r="D110" s="1" t="s">
        <v>41</v>
      </c>
      <c r="E110" s="1" t="str">
        <f>_xlfn.XLOOKUP(operations[[#This Row],[Category]],categories[Category],categories[Type],"",0,1)</f>
        <v>Expense</v>
      </c>
      <c r="F110" s="5">
        <v>45484</v>
      </c>
      <c r="G110" s="1">
        <f>MONTH(operations[[#This Row],[Date]])</f>
        <v>7</v>
      </c>
    </row>
    <row r="111" spans="1:7">
      <c r="A111" s="4">
        <v>-40</v>
      </c>
      <c r="B111" s="1" t="s">
        <v>39</v>
      </c>
      <c r="C111" s="1" t="s">
        <v>47</v>
      </c>
      <c r="D111" s="1" t="s">
        <v>51</v>
      </c>
      <c r="E111" s="1" t="str">
        <f>_xlfn.XLOOKUP(operations[[#This Row],[Category]],categories[Category],categories[Type],"",0,1)</f>
        <v>Expense</v>
      </c>
      <c r="F111" s="5">
        <v>45487</v>
      </c>
      <c r="G111" s="1">
        <f>MONTH(operations[[#This Row],[Date]])</f>
        <v>7</v>
      </c>
    </row>
    <row r="112" spans="1:7">
      <c r="A112" s="4">
        <v>1300</v>
      </c>
      <c r="B112" s="1" t="s">
        <v>39</v>
      </c>
      <c r="C112" s="1" t="s">
        <v>47</v>
      </c>
      <c r="D112" s="1" t="s">
        <v>64</v>
      </c>
      <c r="E112" s="1" t="str">
        <f>_xlfn.XLOOKUP(operations[[#This Row],[Category]],categories[Category],categories[Type],"",0,1)</f>
        <v>Transfer</v>
      </c>
      <c r="F112" s="5">
        <v>45488</v>
      </c>
      <c r="G112" s="1">
        <f>MONTH(operations[[#This Row],[Date]])</f>
        <v>7</v>
      </c>
    </row>
    <row r="113" spans="1:7">
      <c r="A113" s="4">
        <v>-1300</v>
      </c>
      <c r="B113" s="1" t="s">
        <v>39</v>
      </c>
      <c r="C113" s="1" t="s">
        <v>43</v>
      </c>
      <c r="D113" s="1" t="s">
        <v>64</v>
      </c>
      <c r="E113" s="1" t="str">
        <f>_xlfn.XLOOKUP(operations[[#This Row],[Category]],categories[Category],categories[Type],"",0,1)</f>
        <v>Transfer</v>
      </c>
      <c r="F113" s="5">
        <v>45488</v>
      </c>
      <c r="G113" s="1">
        <f>MONTH(operations[[#This Row],[Date]])</f>
        <v>7</v>
      </c>
    </row>
    <row r="114" spans="1:7">
      <c r="A114" s="4">
        <v>-300</v>
      </c>
      <c r="B114" s="1" t="s">
        <v>39</v>
      </c>
      <c r="C114" s="1" t="s">
        <v>50</v>
      </c>
      <c r="D114" s="1" t="s">
        <v>52</v>
      </c>
      <c r="E114" s="1" t="str">
        <f>_xlfn.XLOOKUP(operations[[#This Row],[Category]],categories[Category],categories[Type],"",0,1)</f>
        <v>Expense</v>
      </c>
      <c r="F114" s="5">
        <v>45489</v>
      </c>
      <c r="G114" s="1">
        <f>MONTH(operations[[#This Row],[Date]])</f>
        <v>7</v>
      </c>
    </row>
    <row r="115" spans="1:7">
      <c r="A115" s="4">
        <v>800</v>
      </c>
      <c r="B115" s="1" t="s">
        <v>38</v>
      </c>
      <c r="C115" s="1" t="s">
        <v>46</v>
      </c>
      <c r="D115" s="1" t="s">
        <v>60</v>
      </c>
      <c r="E115" s="1" t="str">
        <f>_xlfn.XLOOKUP(operations[[#This Row],[Category]],categories[Category],categories[Type],"",0,1)</f>
        <v>Income</v>
      </c>
      <c r="F115" s="5">
        <v>45491</v>
      </c>
      <c r="G115" s="1">
        <f>MONTH(operations[[#This Row],[Date]])</f>
        <v>7</v>
      </c>
    </row>
    <row r="116" spans="1:7">
      <c r="A116" s="4">
        <v>-600</v>
      </c>
      <c r="B116" s="1" t="s">
        <v>38</v>
      </c>
      <c r="C116" s="1" t="s">
        <v>43</v>
      </c>
      <c r="D116" s="1" t="s">
        <v>49</v>
      </c>
      <c r="E116" s="1" t="str">
        <f>_xlfn.XLOOKUP(operations[[#This Row],[Category]],categories[Category],categories[Type],"",0,1)</f>
        <v>Expense</v>
      </c>
      <c r="F116" s="5">
        <v>45494</v>
      </c>
      <c r="G116" s="1">
        <f>MONTH(operations[[#This Row],[Date]])</f>
        <v>7</v>
      </c>
    </row>
    <row r="117" spans="1:7">
      <c r="A117" s="4">
        <v>120</v>
      </c>
      <c r="B117" s="1" t="s">
        <v>39</v>
      </c>
      <c r="C117" s="1" t="s">
        <v>50</v>
      </c>
      <c r="D117" s="1" t="s">
        <v>59</v>
      </c>
      <c r="E117" s="1" t="str">
        <f>_xlfn.XLOOKUP(operations[[#This Row],[Category]],categories[Category],categories[Type],"",0,1)</f>
        <v>Income</v>
      </c>
      <c r="F117" s="5">
        <v>45495</v>
      </c>
      <c r="G117" s="1">
        <f>MONTH(operations[[#This Row],[Date]])</f>
        <v>7</v>
      </c>
    </row>
    <row r="118" spans="1:7">
      <c r="A118" s="4">
        <v>-90</v>
      </c>
      <c r="B118" s="1" t="s">
        <v>39</v>
      </c>
      <c r="C118" s="1" t="s">
        <v>43</v>
      </c>
      <c r="D118" s="1" t="s">
        <v>56</v>
      </c>
      <c r="E118" s="1" t="str">
        <f>_xlfn.XLOOKUP(operations[[#This Row],[Category]],categories[Category],categories[Type],"",0,1)</f>
        <v>Expense</v>
      </c>
      <c r="F118" s="5">
        <v>45497</v>
      </c>
      <c r="G118" s="1">
        <f>MONTH(operations[[#This Row],[Date]])</f>
        <v>7</v>
      </c>
    </row>
    <row r="119" spans="1:7">
      <c r="A119" s="4">
        <v>-50</v>
      </c>
      <c r="B119" s="1" t="s">
        <v>39</v>
      </c>
      <c r="C119" s="1" t="s">
        <v>47</v>
      </c>
      <c r="D119" s="1" t="s">
        <v>51</v>
      </c>
      <c r="E119" s="1" t="str">
        <f>_xlfn.XLOOKUP(operations[[#This Row],[Category]],categories[Category],categories[Type],"",0,1)</f>
        <v>Expense</v>
      </c>
      <c r="F119" s="5">
        <v>45499</v>
      </c>
      <c r="G119" s="1">
        <f>MONTH(operations[[#This Row],[Date]])</f>
        <v>7</v>
      </c>
    </row>
    <row r="120" spans="1:7">
      <c r="A120" s="4">
        <v>250</v>
      </c>
      <c r="B120" s="1" t="s">
        <v>38</v>
      </c>
      <c r="C120" s="1" t="s">
        <v>46</v>
      </c>
      <c r="D120" s="1" t="s">
        <v>45</v>
      </c>
      <c r="E120" s="1" t="str">
        <f>_xlfn.XLOOKUP(operations[[#This Row],[Category]],categories[Category],categories[Type],"",0,1)</f>
        <v>Expense</v>
      </c>
      <c r="F120" s="5">
        <v>45502</v>
      </c>
      <c r="G120" s="1">
        <f>MONTH(operations[[#This Row],[Date]])</f>
        <v>7</v>
      </c>
    </row>
    <row r="121" spans="1:7">
      <c r="A121" s="4">
        <v>500</v>
      </c>
      <c r="B121" s="1" t="s">
        <v>38</v>
      </c>
      <c r="C121" s="1" t="s">
        <v>43</v>
      </c>
      <c r="D121" s="1" t="s">
        <v>63</v>
      </c>
      <c r="E121" s="1" t="str">
        <f>_xlfn.XLOOKUP(operations[[#This Row],[Category]],categories[Category],categories[Type],"",0,1)</f>
        <v>Income</v>
      </c>
      <c r="F121" s="5">
        <v>45503</v>
      </c>
      <c r="G121" s="1">
        <f>MONTH(operations[[#This Row],[Date]])</f>
        <v>7</v>
      </c>
    </row>
    <row r="122" spans="1:7">
      <c r="A122" s="4">
        <v>-45</v>
      </c>
      <c r="B122" s="1" t="s">
        <v>39</v>
      </c>
      <c r="C122" s="1" t="s">
        <v>47</v>
      </c>
      <c r="D122" s="1" t="s">
        <v>51</v>
      </c>
      <c r="E122" s="1" t="str">
        <f>_xlfn.XLOOKUP(operations[[#This Row],[Category]],categories[Category],categories[Type],"",0,1)</f>
        <v>Expense</v>
      </c>
      <c r="F122" s="5">
        <v>45504</v>
      </c>
      <c r="G122" s="1">
        <f>MONTH(operations[[#This Row],[Date]])</f>
        <v>7</v>
      </c>
    </row>
    <row r="123" spans="1:7">
      <c r="A123" s="4">
        <v>-600</v>
      </c>
      <c r="B123" s="1" t="s">
        <v>39</v>
      </c>
      <c r="C123" s="1" t="s">
        <v>43</v>
      </c>
      <c r="D123" s="1" t="s">
        <v>51</v>
      </c>
      <c r="E123" s="1" t="str">
        <f>_xlfn.XLOOKUP(operations[[#This Row],[Category]],categories[Category],categories[Type],"",0,1)</f>
        <v>Expense</v>
      </c>
      <c r="F123" s="5">
        <v>45505</v>
      </c>
      <c r="G123" s="1">
        <f>MONTH(operations[[#This Row],[Date]])</f>
        <v>8</v>
      </c>
    </row>
    <row r="124" spans="1:7">
      <c r="A124" s="4">
        <v>-1020</v>
      </c>
      <c r="B124" s="1" t="s">
        <v>39</v>
      </c>
      <c r="C124" s="1" t="s">
        <v>50</v>
      </c>
      <c r="D124" s="1" t="s">
        <v>64</v>
      </c>
      <c r="E124" s="1" t="str">
        <f>_xlfn.XLOOKUP(operations[[#This Row],[Category]],categories[Category],categories[Type],"",0,1)</f>
        <v>Transfer</v>
      </c>
      <c r="F124" s="5">
        <v>45505</v>
      </c>
      <c r="G124" s="1">
        <f>MONTH(operations[[#This Row],[Date]])</f>
        <v>8</v>
      </c>
    </row>
    <row r="125" spans="1:7">
      <c r="A125" s="4">
        <v>-200</v>
      </c>
      <c r="B125" s="1" t="s">
        <v>38</v>
      </c>
      <c r="C125" s="1" t="s">
        <v>43</v>
      </c>
      <c r="D125" s="1" t="s">
        <v>56</v>
      </c>
      <c r="E125" s="1" t="str">
        <f>_xlfn.XLOOKUP(operations[[#This Row],[Category]],categories[Category],categories[Type],"",0,1)</f>
        <v>Expense</v>
      </c>
      <c r="F125" s="5">
        <v>45505</v>
      </c>
      <c r="G125" s="1">
        <f>MONTH(operations[[#This Row],[Date]])</f>
        <v>8</v>
      </c>
    </row>
    <row r="126" spans="1:7">
      <c r="A126" s="4">
        <v>-70</v>
      </c>
      <c r="B126" s="1" t="s">
        <v>39</v>
      </c>
      <c r="C126" s="1" t="s">
        <v>47</v>
      </c>
      <c r="D126" s="1" t="s">
        <v>51</v>
      </c>
      <c r="E126" s="1" t="str">
        <f>_xlfn.XLOOKUP(operations[[#This Row],[Category]],categories[Category],categories[Type],"",0,1)</f>
        <v>Expense</v>
      </c>
      <c r="F126" s="5">
        <v>45513</v>
      </c>
      <c r="G126" s="1">
        <f>MONTH(operations[[#This Row],[Date]])</f>
        <v>8</v>
      </c>
    </row>
    <row r="127" spans="1:7">
      <c r="A127" s="4">
        <v>4500</v>
      </c>
      <c r="B127" s="1" t="s">
        <v>39</v>
      </c>
      <c r="C127" s="1" t="s">
        <v>43</v>
      </c>
      <c r="D127" s="1" t="s">
        <v>62</v>
      </c>
      <c r="E127" s="1" t="str">
        <f>_xlfn.XLOOKUP(operations[[#This Row],[Category]],categories[Category],categories[Type],"",0,1)</f>
        <v>Income</v>
      </c>
      <c r="F127" s="5">
        <v>45514</v>
      </c>
      <c r="G127" s="1">
        <f>MONTH(operations[[#This Row],[Date]])</f>
        <v>8</v>
      </c>
    </row>
    <row r="128" spans="1:7">
      <c r="A128" s="4">
        <v>-2000</v>
      </c>
      <c r="B128" s="1" t="s">
        <v>39</v>
      </c>
      <c r="C128" s="1" t="s">
        <v>43</v>
      </c>
      <c r="D128" s="1" t="s">
        <v>41</v>
      </c>
      <c r="E128" s="1" t="str">
        <f>_xlfn.XLOOKUP(operations[[#This Row],[Category]],categories[Category],categories[Type],"",0,1)</f>
        <v>Expense</v>
      </c>
      <c r="F128" s="5">
        <v>45515</v>
      </c>
      <c r="G128" s="1">
        <f>MONTH(operations[[#This Row],[Date]])</f>
        <v>8</v>
      </c>
    </row>
    <row r="129" spans="1:7">
      <c r="A129" s="4">
        <v>-100</v>
      </c>
      <c r="B129" s="1" t="s">
        <v>38</v>
      </c>
      <c r="C129" s="1" t="s">
        <v>43</v>
      </c>
      <c r="D129" s="1" t="s">
        <v>49</v>
      </c>
      <c r="E129" s="1" t="str">
        <f>_xlfn.XLOOKUP(operations[[#This Row],[Category]],categories[Category],categories[Type],"",0,1)</f>
        <v>Expense</v>
      </c>
      <c r="F129" s="5">
        <v>45518</v>
      </c>
      <c r="G129" s="1">
        <f>MONTH(operations[[#This Row],[Date]])</f>
        <v>8</v>
      </c>
    </row>
    <row r="130" spans="1:7">
      <c r="A130" s="4">
        <v>135</v>
      </c>
      <c r="B130" s="1" t="s">
        <v>39</v>
      </c>
      <c r="C130" s="1" t="s">
        <v>47</v>
      </c>
      <c r="D130" s="1" t="s">
        <v>64</v>
      </c>
      <c r="E130" s="1" t="str">
        <f>_xlfn.XLOOKUP(operations[[#This Row],[Category]],categories[Category],categories[Type],"",0,1)</f>
        <v>Transfer</v>
      </c>
      <c r="F130" s="5">
        <v>45519</v>
      </c>
      <c r="G130" s="1">
        <f>MONTH(operations[[#This Row],[Date]])</f>
        <v>8</v>
      </c>
    </row>
    <row r="131" spans="1:7">
      <c r="A131" s="4">
        <v>-135</v>
      </c>
      <c r="B131" s="1" t="s">
        <v>39</v>
      </c>
      <c r="C131" s="1" t="s">
        <v>43</v>
      </c>
      <c r="D131" s="1" t="s">
        <v>64</v>
      </c>
      <c r="E131" s="1" t="str">
        <f>_xlfn.XLOOKUP(operations[[#This Row],[Category]],categories[Category],categories[Type],"",0,1)</f>
        <v>Transfer</v>
      </c>
      <c r="F131" s="5">
        <v>45519</v>
      </c>
      <c r="G131" s="1">
        <f>MONTH(operations[[#This Row],[Date]])</f>
        <v>8</v>
      </c>
    </row>
    <row r="132" spans="1:7">
      <c r="A132" s="4">
        <v>-400</v>
      </c>
      <c r="B132" s="1" t="s">
        <v>39</v>
      </c>
      <c r="C132" s="1" t="s">
        <v>43</v>
      </c>
      <c r="D132" s="1" t="s">
        <v>52</v>
      </c>
      <c r="E132" s="1" t="str">
        <f>_xlfn.XLOOKUP(operations[[#This Row],[Category]],categories[Category],categories[Type],"",0,1)</f>
        <v>Expense</v>
      </c>
      <c r="F132" s="5">
        <v>45520</v>
      </c>
      <c r="G132" s="1">
        <f>MONTH(operations[[#This Row],[Date]])</f>
        <v>8</v>
      </c>
    </row>
    <row r="133" spans="1:7">
      <c r="A133" s="4">
        <v>-32</v>
      </c>
      <c r="B133" s="1" t="s">
        <v>39</v>
      </c>
      <c r="C133" s="1" t="s">
        <v>47</v>
      </c>
      <c r="D133" s="1" t="s">
        <v>51</v>
      </c>
      <c r="E133" s="1" t="str">
        <f>_xlfn.XLOOKUP(operations[[#This Row],[Category]],categories[Category],categories[Type],"",0,1)</f>
        <v>Expense</v>
      </c>
      <c r="F133" s="5">
        <v>45522</v>
      </c>
      <c r="G133" s="1">
        <f>MONTH(operations[[#This Row],[Date]])</f>
        <v>8</v>
      </c>
    </row>
    <row r="134" spans="1:7">
      <c r="A134" s="4">
        <v>200</v>
      </c>
      <c r="B134" s="1" t="s">
        <v>40</v>
      </c>
      <c r="C134" s="1" t="s">
        <v>48</v>
      </c>
      <c r="D134" s="1" t="s">
        <v>60</v>
      </c>
      <c r="E134" s="1" t="str">
        <f>_xlfn.XLOOKUP(operations[[#This Row],[Category]],categories[Category],categories[Type],"",0,1)</f>
        <v>Income</v>
      </c>
      <c r="F134" s="5">
        <v>45524</v>
      </c>
      <c r="G134" s="1">
        <f>MONTH(operations[[#This Row],[Date]])</f>
        <v>8</v>
      </c>
    </row>
    <row r="135" spans="1:7">
      <c r="A135" s="4">
        <v>-150</v>
      </c>
      <c r="B135" s="1" t="s">
        <v>40</v>
      </c>
      <c r="C135" s="1" t="s">
        <v>48</v>
      </c>
      <c r="D135" s="1" t="s">
        <v>49</v>
      </c>
      <c r="E135" s="1" t="str">
        <f>_xlfn.XLOOKUP(operations[[#This Row],[Category]],categories[Category],categories[Type],"",0,1)</f>
        <v>Expense</v>
      </c>
      <c r="F135" s="5">
        <v>45526</v>
      </c>
      <c r="G135" s="1">
        <f>MONTH(operations[[#This Row],[Date]])</f>
        <v>8</v>
      </c>
    </row>
    <row r="136" spans="1:7">
      <c r="A136" s="4">
        <v>-47.5</v>
      </c>
      <c r="B136" s="1" t="s">
        <v>40</v>
      </c>
      <c r="C136" s="1" t="s">
        <v>48</v>
      </c>
      <c r="D136" s="1" t="s">
        <v>51</v>
      </c>
      <c r="E136" s="1" t="str">
        <f>_xlfn.XLOOKUP(operations[[#This Row],[Category]],categories[Category],categories[Type],"",0,1)</f>
        <v>Expense</v>
      </c>
      <c r="F136" s="5">
        <v>45527</v>
      </c>
      <c r="G136" s="1">
        <f>MONTH(operations[[#This Row],[Date]])</f>
        <v>8</v>
      </c>
    </row>
    <row r="137" spans="1:7">
      <c r="A137" s="4">
        <v>-90</v>
      </c>
      <c r="B137" s="1" t="s">
        <v>39</v>
      </c>
      <c r="C137" s="1" t="s">
        <v>43</v>
      </c>
      <c r="D137" s="1" t="s">
        <v>56</v>
      </c>
      <c r="E137" s="1" t="str">
        <f>_xlfn.XLOOKUP(operations[[#This Row],[Category]],categories[Category],categories[Type],"",0,1)</f>
        <v>Expense</v>
      </c>
      <c r="F137" s="5">
        <v>45528</v>
      </c>
      <c r="G137" s="1">
        <f>MONTH(operations[[#This Row],[Date]])</f>
        <v>8</v>
      </c>
    </row>
    <row r="138" spans="1:7">
      <c r="A138" s="4">
        <v>-300</v>
      </c>
      <c r="B138" s="1" t="s">
        <v>38</v>
      </c>
      <c r="C138" s="1" t="s">
        <v>46</v>
      </c>
      <c r="D138" s="1" t="s">
        <v>45</v>
      </c>
      <c r="E138" s="1" t="str">
        <f>_xlfn.XLOOKUP(operations[[#This Row],[Category]],categories[Category],categories[Type],"",0,1)</f>
        <v>Expense</v>
      </c>
      <c r="F138" s="5">
        <v>45531</v>
      </c>
      <c r="G138" s="1">
        <f>MONTH(operations[[#This Row],[Date]])</f>
        <v>8</v>
      </c>
    </row>
    <row r="139" spans="1:7">
      <c r="A139" s="4">
        <v>500</v>
      </c>
      <c r="B139" s="1" t="s">
        <v>38</v>
      </c>
      <c r="C139" s="1" t="s">
        <v>43</v>
      </c>
      <c r="D139" s="1" t="s">
        <v>63</v>
      </c>
      <c r="E139" s="1" t="str">
        <f>_xlfn.XLOOKUP(operations[[#This Row],[Category]],categories[Category],categories[Type],"",0,1)</f>
        <v>Income</v>
      </c>
      <c r="F139" s="5">
        <v>45534</v>
      </c>
      <c r="G139" s="1">
        <f>MONTH(operations[[#This Row],[Date]])</f>
        <v>8</v>
      </c>
    </row>
    <row r="140" spans="1:7">
      <c r="A140" s="4">
        <v>200</v>
      </c>
      <c r="B140" s="1" t="s">
        <v>39</v>
      </c>
      <c r="C140" s="1" t="s">
        <v>43</v>
      </c>
      <c r="D140" s="1" t="s">
        <v>60</v>
      </c>
      <c r="E140" s="1" t="str">
        <f>_xlfn.XLOOKUP(operations[[#This Row],[Category]],categories[Category],categories[Type],"",0,1)</f>
        <v>Income</v>
      </c>
      <c r="F140" s="5">
        <v>45535</v>
      </c>
      <c r="G140" s="1">
        <f>MONTH(operations[[#This Row],[Date]])</f>
        <v>8</v>
      </c>
    </row>
    <row r="141" spans="1:7">
      <c r="A141" s="4">
        <v>-150</v>
      </c>
      <c r="B141" s="1" t="s">
        <v>39</v>
      </c>
      <c r="C141" s="1" t="s">
        <v>43</v>
      </c>
      <c r="D141" s="1" t="s">
        <v>56</v>
      </c>
      <c r="E141" s="1" t="str">
        <f>_xlfn.XLOOKUP(operations[[#This Row],[Category]],categories[Category],categories[Type],"",0,1)</f>
        <v>Expense</v>
      </c>
      <c r="F141" s="5">
        <v>45536</v>
      </c>
      <c r="G141" s="1">
        <f>MONTH(operations[[#This Row],[Date]])</f>
        <v>9</v>
      </c>
    </row>
    <row r="142" spans="1:7">
      <c r="A142" s="4">
        <v>-20</v>
      </c>
      <c r="B142" s="1" t="s">
        <v>38</v>
      </c>
      <c r="C142" s="1" t="s">
        <v>43</v>
      </c>
      <c r="D142" s="1" t="s">
        <v>51</v>
      </c>
      <c r="E142" s="1" t="str">
        <f>_xlfn.XLOOKUP(operations[[#This Row],[Category]],categories[Category],categories[Type],"",0,1)</f>
        <v>Expense</v>
      </c>
      <c r="F142" s="5">
        <v>45539</v>
      </c>
      <c r="G142" s="1">
        <f>MONTH(operations[[#This Row],[Date]])</f>
        <v>9</v>
      </c>
    </row>
    <row r="143" spans="1:7">
      <c r="A143" s="4">
        <v>-40</v>
      </c>
      <c r="B143" s="1" t="s">
        <v>39</v>
      </c>
      <c r="C143" s="1" t="s">
        <v>43</v>
      </c>
      <c r="D143" s="1" t="s">
        <v>53</v>
      </c>
      <c r="E143" s="1" t="str">
        <f>_xlfn.XLOOKUP(operations[[#This Row],[Category]],categories[Category],categories[Type],"",0,1)</f>
        <v>Expense</v>
      </c>
      <c r="F143" s="5">
        <v>45542</v>
      </c>
      <c r="G143" s="1">
        <f>MONTH(operations[[#This Row],[Date]])</f>
        <v>9</v>
      </c>
    </row>
    <row r="144" spans="1:7">
      <c r="A144" s="4">
        <v>-500</v>
      </c>
      <c r="B144" s="1" t="s">
        <v>39</v>
      </c>
      <c r="C144" s="1" t="s">
        <v>43</v>
      </c>
      <c r="D144" s="1" t="s">
        <v>51</v>
      </c>
      <c r="E144" s="1" t="str">
        <f>_xlfn.XLOOKUP(operations[[#This Row],[Category]],categories[Category],categories[Type],"",0,1)</f>
        <v>Expense</v>
      </c>
      <c r="F144" s="5">
        <v>45543</v>
      </c>
      <c r="G144" s="1">
        <f>MONTH(operations[[#This Row],[Date]])</f>
        <v>9</v>
      </c>
    </row>
    <row r="145" spans="1:7">
      <c r="A145" s="4">
        <v>4500</v>
      </c>
      <c r="B145" s="1" t="s">
        <v>39</v>
      </c>
      <c r="C145" s="1" t="s">
        <v>43</v>
      </c>
      <c r="D145" s="1" t="s">
        <v>62</v>
      </c>
      <c r="E145" s="1" t="str">
        <f>_xlfn.XLOOKUP(operations[[#This Row],[Category]],categories[Category],categories[Type],"",0,1)</f>
        <v>Income</v>
      </c>
      <c r="F145" s="5">
        <v>45545</v>
      </c>
      <c r="G145" s="1">
        <f>MONTH(operations[[#This Row],[Date]])</f>
        <v>9</v>
      </c>
    </row>
    <row r="146" spans="1:7">
      <c r="A146" s="4">
        <v>-20</v>
      </c>
      <c r="B146" s="1" t="s">
        <v>39</v>
      </c>
      <c r="C146" s="1" t="s">
        <v>47</v>
      </c>
      <c r="D146" s="1" t="s">
        <v>49</v>
      </c>
      <c r="E146" s="1" t="str">
        <f>_xlfn.XLOOKUP(operations[[#This Row],[Category]],categories[Category],categories[Type],"",0,1)</f>
        <v>Expense</v>
      </c>
      <c r="F146" s="5">
        <v>45546</v>
      </c>
      <c r="G146" s="1">
        <f>MONTH(operations[[#This Row],[Date]])</f>
        <v>9</v>
      </c>
    </row>
    <row r="147" spans="1:7">
      <c r="A147" s="4">
        <v>-2000</v>
      </c>
      <c r="B147" s="1" t="s">
        <v>39</v>
      </c>
      <c r="C147" s="1" t="s">
        <v>43</v>
      </c>
      <c r="D147" s="1" t="s">
        <v>41</v>
      </c>
      <c r="E147" s="1" t="str">
        <f>_xlfn.XLOOKUP(operations[[#This Row],[Category]],categories[Category],categories[Type],"",0,1)</f>
        <v>Expense</v>
      </c>
      <c r="F147" s="5">
        <v>45546</v>
      </c>
      <c r="G147" s="1">
        <f>MONTH(operations[[#This Row],[Date]])</f>
        <v>9</v>
      </c>
    </row>
    <row r="148" spans="1:7">
      <c r="A148" s="4">
        <v>102</v>
      </c>
      <c r="B148" s="1" t="s">
        <v>39</v>
      </c>
      <c r="C148" s="1" t="s">
        <v>47</v>
      </c>
      <c r="D148" s="1" t="s">
        <v>64</v>
      </c>
      <c r="E148" s="1" t="str">
        <f>_xlfn.XLOOKUP(operations[[#This Row],[Category]],categories[Category],categories[Type],"",0,1)</f>
        <v>Transfer</v>
      </c>
      <c r="F148" s="5">
        <v>45550</v>
      </c>
      <c r="G148" s="1">
        <f>MONTH(operations[[#This Row],[Date]])</f>
        <v>9</v>
      </c>
    </row>
    <row r="149" spans="1:7">
      <c r="A149" s="4">
        <v>-102</v>
      </c>
      <c r="B149" s="1" t="s">
        <v>39</v>
      </c>
      <c r="C149" s="1" t="s">
        <v>43</v>
      </c>
      <c r="D149" s="1" t="s">
        <v>64</v>
      </c>
      <c r="E149" s="1" t="str">
        <f>_xlfn.XLOOKUP(operations[[#This Row],[Category]],categories[Category],categories[Type],"",0,1)</f>
        <v>Transfer</v>
      </c>
      <c r="F149" s="5">
        <v>45550</v>
      </c>
      <c r="G149" s="1">
        <f>MONTH(operations[[#This Row],[Date]])</f>
        <v>9</v>
      </c>
    </row>
    <row r="150" spans="1:7">
      <c r="A150" s="4">
        <v>-18.5</v>
      </c>
      <c r="B150" s="1" t="s">
        <v>39</v>
      </c>
      <c r="C150" s="1" t="s">
        <v>43</v>
      </c>
      <c r="D150" s="1" t="s">
        <v>51</v>
      </c>
      <c r="E150" s="1" t="str">
        <f>_xlfn.XLOOKUP(operations[[#This Row],[Category]],categories[Category],categories[Type],"",0,1)</f>
        <v>Expense</v>
      </c>
      <c r="F150" s="5">
        <v>45553</v>
      </c>
      <c r="G150" s="1">
        <f>MONTH(operations[[#This Row],[Date]])</f>
        <v>9</v>
      </c>
    </row>
    <row r="151" spans="1:7">
      <c r="A151" s="4">
        <v>-150</v>
      </c>
      <c r="B151" s="1" t="s">
        <v>39</v>
      </c>
      <c r="C151" s="1" t="s">
        <v>43</v>
      </c>
      <c r="D151" s="1" t="s">
        <v>56</v>
      </c>
      <c r="E151" s="1" t="str">
        <f>_xlfn.XLOOKUP(operations[[#This Row],[Category]],categories[Category],categories[Type],"",0,1)</f>
        <v>Expense</v>
      </c>
      <c r="F151" s="5">
        <v>45566</v>
      </c>
      <c r="G151" s="1">
        <f>MONTH(operations[[#This Row],[Date]])</f>
        <v>10</v>
      </c>
    </row>
    <row r="152" spans="1:7">
      <c r="A152" s="4">
        <v>-40</v>
      </c>
      <c r="B152" s="1" t="s">
        <v>39</v>
      </c>
      <c r="C152" s="1" t="s">
        <v>43</v>
      </c>
      <c r="D152" s="1" t="s">
        <v>53</v>
      </c>
      <c r="E152" s="1" t="str">
        <f>_xlfn.XLOOKUP(operations[[#This Row],[Category]],categories[Category],categories[Type],"",0,1)</f>
        <v>Expense</v>
      </c>
      <c r="F152" s="5">
        <v>45572</v>
      </c>
      <c r="G152" s="1">
        <f>MONTH(operations[[#This Row],[Date]])</f>
        <v>10</v>
      </c>
    </row>
    <row r="153" spans="1:7">
      <c r="A153" s="4">
        <v>-600</v>
      </c>
      <c r="B153" s="1" t="s">
        <v>39</v>
      </c>
      <c r="C153" s="1" t="s">
        <v>43</v>
      </c>
      <c r="D153" s="1" t="s">
        <v>51</v>
      </c>
      <c r="E153" s="1" t="str">
        <f>_xlfn.XLOOKUP(operations[[#This Row],[Category]],categories[Category],categories[Type],"",0,1)</f>
        <v>Expense</v>
      </c>
      <c r="F153" s="5">
        <v>45573</v>
      </c>
      <c r="G153" s="1">
        <f>MONTH(operations[[#This Row],[Date]])</f>
        <v>10</v>
      </c>
    </row>
    <row r="154" spans="1:7">
      <c r="A154" s="4">
        <v>4500</v>
      </c>
      <c r="B154" s="1" t="s">
        <v>39</v>
      </c>
      <c r="C154" s="1" t="s">
        <v>43</v>
      </c>
      <c r="D154" s="1" t="s">
        <v>62</v>
      </c>
      <c r="E154" s="1" t="str">
        <f>_xlfn.XLOOKUP(operations[[#This Row],[Category]],categories[Category],categories[Type],"",0,1)</f>
        <v>Income</v>
      </c>
      <c r="F154" s="5">
        <v>45575</v>
      </c>
      <c r="G154" s="1">
        <f>MONTH(operations[[#This Row],[Date]])</f>
        <v>10</v>
      </c>
    </row>
    <row r="155" spans="1:7">
      <c r="A155" s="4">
        <v>-40</v>
      </c>
      <c r="B155" s="1" t="s">
        <v>39</v>
      </c>
      <c r="C155" s="1" t="s">
        <v>47</v>
      </c>
      <c r="D155" s="1" t="s">
        <v>49</v>
      </c>
      <c r="E155" s="1" t="str">
        <f>_xlfn.XLOOKUP(operations[[#This Row],[Category]],categories[Category],categories[Type],"",0,1)</f>
        <v>Expense</v>
      </c>
      <c r="F155" s="5">
        <v>45576</v>
      </c>
      <c r="G155" s="1">
        <f>MONTH(operations[[#This Row],[Date]])</f>
        <v>10</v>
      </c>
    </row>
    <row r="156" spans="1:7">
      <c r="A156" s="4">
        <v>-2000</v>
      </c>
      <c r="B156" s="1" t="s">
        <v>39</v>
      </c>
      <c r="C156" s="1" t="s">
        <v>43</v>
      </c>
      <c r="D156" s="1" t="s">
        <v>41</v>
      </c>
      <c r="E156" s="1" t="str">
        <f>_xlfn.XLOOKUP(operations[[#This Row],[Category]],categories[Category],categories[Type],"",0,1)</f>
        <v>Expense</v>
      </c>
      <c r="F156" s="5">
        <v>45576</v>
      </c>
      <c r="G156" s="1">
        <f>MONTH(operations[[#This Row],[Date]])</f>
        <v>10</v>
      </c>
    </row>
    <row r="157" spans="1:7">
      <c r="A157" s="4">
        <v>20</v>
      </c>
      <c r="B157" s="1" t="s">
        <v>39</v>
      </c>
      <c r="C157" s="1" t="s">
        <v>47</v>
      </c>
      <c r="D157" s="1" t="s">
        <v>64</v>
      </c>
      <c r="E157" s="1" t="str">
        <f>_xlfn.XLOOKUP(operations[[#This Row],[Category]],categories[Category],categories[Type],"",0,1)</f>
        <v>Transfer</v>
      </c>
      <c r="F157" s="5">
        <v>45580</v>
      </c>
      <c r="G157" s="1">
        <f>MONTH(operations[[#This Row],[Date]])</f>
        <v>10</v>
      </c>
    </row>
    <row r="158" spans="1:7">
      <c r="A158" s="4">
        <v>-20</v>
      </c>
      <c r="B158" s="1" t="s">
        <v>39</v>
      </c>
      <c r="C158" s="1" t="s">
        <v>43</v>
      </c>
      <c r="D158" s="1" t="s">
        <v>64</v>
      </c>
      <c r="E158" s="1" t="str">
        <f>_xlfn.XLOOKUP(operations[[#This Row],[Category]],categories[Category],categories[Type],"",0,1)</f>
        <v>Transfer</v>
      </c>
      <c r="F158" s="5">
        <v>45580</v>
      </c>
      <c r="G158" s="1">
        <f>MONTH(operations[[#This Row],[Date]])</f>
        <v>10</v>
      </c>
    </row>
    <row r="159" spans="1:7">
      <c r="A159" s="4">
        <v>4500</v>
      </c>
      <c r="B159" s="1" t="s">
        <v>39</v>
      </c>
      <c r="C159" s="1" t="s">
        <v>43</v>
      </c>
      <c r="D159" s="1" t="s">
        <v>62</v>
      </c>
      <c r="E159" s="1" t="str">
        <f>_xlfn.XLOOKUP(operations[[#This Row],[Category]],categories[Category],categories[Type],"",0,1)</f>
        <v>Income</v>
      </c>
      <c r="F159" s="5">
        <v>45606</v>
      </c>
      <c r="G159" s="1">
        <f>MONTH(operations[[#This Row],[Date]])</f>
        <v>11</v>
      </c>
    </row>
    <row r="160" spans="1:7">
      <c r="A160" s="4">
        <v>-2000</v>
      </c>
      <c r="B160" s="1" t="s">
        <v>39</v>
      </c>
      <c r="C160" s="1" t="s">
        <v>43</v>
      </c>
      <c r="D160" s="1" t="s">
        <v>41</v>
      </c>
      <c r="E160" s="1" t="str">
        <f>_xlfn.XLOOKUP(operations[[#This Row],[Category]],categories[Category],categories[Type],"",0,1)</f>
        <v>Expense</v>
      </c>
      <c r="F160" s="5">
        <v>45607</v>
      </c>
      <c r="G160" s="1">
        <f>MONTH(operations[[#This Row],[Date]])</f>
        <v>11</v>
      </c>
    </row>
    <row r="161" spans="1:7">
      <c r="A161" s="4">
        <v>-82</v>
      </c>
      <c r="B161" s="1" t="s">
        <v>39</v>
      </c>
      <c r="C161" s="1" t="s">
        <v>43</v>
      </c>
      <c r="D161" s="1" t="s">
        <v>56</v>
      </c>
      <c r="E161" s="1" t="str">
        <f>_xlfn.XLOOKUP(operations[[#This Row],[Category]],categories[Category],categories[Type],"",0,1)</f>
        <v>Expense</v>
      </c>
      <c r="F161" s="5">
        <v>45607</v>
      </c>
      <c r="G161" s="1">
        <f>MONTH(operations[[#This Row],[Date]])</f>
        <v>11</v>
      </c>
    </row>
    <row r="162" spans="1:7">
      <c r="A162" s="4">
        <v>-200</v>
      </c>
      <c r="B162" s="1" t="s">
        <v>39</v>
      </c>
      <c r="C162" s="1" t="s">
        <v>43</v>
      </c>
      <c r="D162" s="1" t="s">
        <v>51</v>
      </c>
      <c r="E162" s="1" t="str">
        <f>_xlfn.XLOOKUP(operations[[#This Row],[Category]],categories[Category],categories[Type],"",0,1)</f>
        <v>Expense</v>
      </c>
      <c r="F162" s="5">
        <v>45607</v>
      </c>
      <c r="G162" s="1">
        <f>MONTH(operations[[#This Row],[Date]])</f>
        <v>11</v>
      </c>
    </row>
    <row r="163" spans="1:7">
      <c r="A163" s="4">
        <v>-12</v>
      </c>
      <c r="B163" s="1" t="s">
        <v>39</v>
      </c>
      <c r="C163" s="1" t="s">
        <v>43</v>
      </c>
      <c r="D163" s="1" t="s">
        <v>53</v>
      </c>
      <c r="E163" s="1" t="str">
        <f>_xlfn.XLOOKUP(operations[[#This Row],[Category]],categories[Category],categories[Type],"",0,1)</f>
        <v>Expense</v>
      </c>
      <c r="F163" s="5">
        <v>45608</v>
      </c>
      <c r="G163" s="1">
        <f>MONTH(operations[[#This Row],[Date]])</f>
        <v>11</v>
      </c>
    </row>
    <row r="164" spans="1:7">
      <c r="A164" s="4">
        <v>-90</v>
      </c>
      <c r="B164" s="1" t="s">
        <v>39</v>
      </c>
      <c r="C164" s="1" t="s">
        <v>43</v>
      </c>
      <c r="D164" s="1" t="s">
        <v>49</v>
      </c>
      <c r="E164" s="1" t="str">
        <f>_xlfn.XLOOKUP(operations[[#This Row],[Category]],categories[Category],categories[Type],"",0,1)</f>
        <v>Expense</v>
      </c>
      <c r="F164" s="5">
        <v>45610</v>
      </c>
      <c r="G164" s="1">
        <f>MONTH(operations[[#This Row],[Date]])</f>
        <v>11</v>
      </c>
    </row>
    <row r="165" spans="1:7">
      <c r="A165" s="4">
        <v>40</v>
      </c>
      <c r="B165" s="1" t="s">
        <v>39</v>
      </c>
      <c r="C165" s="1" t="s">
        <v>47</v>
      </c>
      <c r="D165" s="1" t="s">
        <v>64</v>
      </c>
      <c r="E165" s="1" t="str">
        <f>_xlfn.XLOOKUP(operations[[#This Row],[Category]],categories[Category],categories[Type],"",0,1)</f>
        <v>Transfer</v>
      </c>
      <c r="F165" s="5">
        <v>45611</v>
      </c>
      <c r="G165" s="1">
        <f>MONTH(operations[[#This Row],[Date]])</f>
        <v>11</v>
      </c>
    </row>
    <row r="166" spans="1:7">
      <c r="A166" s="4">
        <v>-40</v>
      </c>
      <c r="B166" s="1" t="s">
        <v>39</v>
      </c>
      <c r="C166" s="1" t="s">
        <v>43</v>
      </c>
      <c r="D166" s="1" t="s">
        <v>64</v>
      </c>
      <c r="E166" s="1" t="str">
        <f>_xlfn.XLOOKUP(operations[[#This Row],[Category]],categories[Category],categories[Type],"",0,1)</f>
        <v>Transfer</v>
      </c>
      <c r="F166" s="5">
        <v>45611</v>
      </c>
      <c r="G166" s="1">
        <f>MONTH(operations[[#This Row],[Date]])</f>
        <v>11</v>
      </c>
    </row>
    <row r="167" spans="1:7">
      <c r="A167" s="4">
        <v>-28</v>
      </c>
      <c r="B167" s="1" t="s">
        <v>39</v>
      </c>
      <c r="C167" s="1" t="s">
        <v>43</v>
      </c>
      <c r="D167" s="1" t="s">
        <v>51</v>
      </c>
      <c r="E167" s="1" t="str">
        <f>_xlfn.XLOOKUP(operations[[#This Row],[Category]],categories[Category],categories[Type],"",0,1)</f>
        <v>Expense</v>
      </c>
      <c r="F167" s="5">
        <v>45612</v>
      </c>
      <c r="G167" s="1">
        <f>MONTH(operations[[#This Row],[Date]])</f>
        <v>11</v>
      </c>
    </row>
    <row r="168" spans="1:7">
      <c r="A168" s="4">
        <v>-63</v>
      </c>
      <c r="B168" s="1" t="s">
        <v>39</v>
      </c>
      <c r="C168" s="1" t="s">
        <v>43</v>
      </c>
      <c r="D168" s="1" t="s">
        <v>52</v>
      </c>
      <c r="E168" s="1" t="str">
        <f>_xlfn.XLOOKUP(operations[[#This Row],[Category]],categories[Category],categories[Type],"",0,1)</f>
        <v>Expense</v>
      </c>
      <c r="F168" s="5">
        <v>45613</v>
      </c>
      <c r="G168" s="1">
        <f>MONTH(operations[[#This Row],[Date]])</f>
        <v>11</v>
      </c>
    </row>
    <row r="169" spans="1:7">
      <c r="A169" s="4">
        <v>-15</v>
      </c>
      <c r="B169" s="1" t="s">
        <v>39</v>
      </c>
      <c r="C169" s="1" t="s">
        <v>43</v>
      </c>
      <c r="D169" s="1" t="s">
        <v>56</v>
      </c>
      <c r="E169" s="1" t="str">
        <f>_xlfn.XLOOKUP(operations[[#This Row],[Category]],categories[Category],categories[Type],"",0,1)</f>
        <v>Expense</v>
      </c>
      <c r="F169" s="5">
        <v>45613</v>
      </c>
      <c r="G169" s="1">
        <f>MONTH(operations[[#This Row],[Date]])</f>
        <v>11</v>
      </c>
    </row>
    <row r="170" spans="1:7">
      <c r="A170" s="4">
        <v>-44</v>
      </c>
      <c r="B170" s="1" t="s">
        <v>39</v>
      </c>
      <c r="C170" s="1" t="s">
        <v>43</v>
      </c>
      <c r="D170" s="1" t="s">
        <v>51</v>
      </c>
      <c r="E170" s="1" t="str">
        <f>_xlfn.XLOOKUP(operations[[#This Row],[Category]],categories[Category],categories[Type],"",0,1)</f>
        <v>Expense</v>
      </c>
      <c r="F170" s="5">
        <v>45615</v>
      </c>
      <c r="G170" s="1">
        <f>MONTH(operations[[#This Row],[Date]])</f>
        <v>11</v>
      </c>
    </row>
    <row r="171" spans="1:7">
      <c r="A171" s="4">
        <v>-107</v>
      </c>
      <c r="B171" s="1" t="s">
        <v>39</v>
      </c>
      <c r="C171" s="1" t="s">
        <v>43</v>
      </c>
      <c r="D171" s="1" t="s">
        <v>45</v>
      </c>
      <c r="E171" s="1" t="str">
        <f>_xlfn.XLOOKUP(operations[[#This Row],[Category]],categories[Category],categories[Type],"",0,1)</f>
        <v>Expense</v>
      </c>
      <c r="F171" s="5">
        <v>45616</v>
      </c>
      <c r="G171" s="1">
        <f>MONTH(operations[[#This Row],[Date]])</f>
        <v>11</v>
      </c>
    </row>
    <row r="172" spans="1:7">
      <c r="A172" s="4">
        <v>-169</v>
      </c>
      <c r="B172" s="1" t="s">
        <v>39</v>
      </c>
      <c r="C172" s="1" t="s">
        <v>43</v>
      </c>
      <c r="D172" s="1" t="s">
        <v>54</v>
      </c>
      <c r="E172" s="1" t="str">
        <f>_xlfn.XLOOKUP(operations[[#This Row],[Category]],categories[Category],categories[Type],"",0,1)</f>
        <v>Expense</v>
      </c>
      <c r="F172" s="5">
        <v>45617</v>
      </c>
      <c r="G172" s="1">
        <f>MONTH(operations[[#This Row],[Date]])</f>
        <v>11</v>
      </c>
    </row>
    <row r="173" spans="1:7">
      <c r="A173" s="4">
        <v>-51</v>
      </c>
      <c r="B173" s="1" t="s">
        <v>39</v>
      </c>
      <c r="C173" s="1" t="s">
        <v>43</v>
      </c>
      <c r="D173" s="1" t="s">
        <v>45</v>
      </c>
      <c r="E173" s="1" t="str">
        <f>_xlfn.XLOOKUP(operations[[#This Row],[Category]],categories[Category],categories[Type],"",0,1)</f>
        <v>Expense</v>
      </c>
      <c r="F173" s="5">
        <v>45618</v>
      </c>
      <c r="G173" s="1">
        <f>MONTH(operations[[#This Row],[Date]])</f>
        <v>11</v>
      </c>
    </row>
    <row r="174" spans="1:7">
      <c r="A174" s="4">
        <v>-80</v>
      </c>
      <c r="B174" s="1" t="s">
        <v>39</v>
      </c>
      <c r="C174" s="1" t="s">
        <v>43</v>
      </c>
      <c r="D174" s="1" t="s">
        <v>51</v>
      </c>
      <c r="E174" s="1" t="str">
        <f>_xlfn.XLOOKUP(operations[[#This Row],[Category]],categories[Category],categories[Type],"",0,1)</f>
        <v>Expense</v>
      </c>
      <c r="F174" s="5">
        <v>45618</v>
      </c>
      <c r="G174" s="1">
        <f>MONTH(operations[[#This Row],[Date]])</f>
        <v>11</v>
      </c>
    </row>
    <row r="175" spans="1:7">
      <c r="A175" s="4">
        <v>-70</v>
      </c>
      <c r="B175" s="1" t="s">
        <v>39</v>
      </c>
      <c r="C175" s="1" t="s">
        <v>43</v>
      </c>
      <c r="D175" s="1" t="s">
        <v>52</v>
      </c>
      <c r="E175" s="1" t="str">
        <f>_xlfn.XLOOKUP(operations[[#This Row],[Category]],categories[Category],categories[Type],"",0,1)</f>
        <v>Expense</v>
      </c>
      <c r="F175" s="5">
        <v>45618</v>
      </c>
      <c r="G175" s="1">
        <f>MONTH(operations[[#This Row],[Date]])</f>
        <v>11</v>
      </c>
    </row>
    <row r="176" spans="1:7">
      <c r="A176" s="4">
        <v>-35</v>
      </c>
      <c r="B176" s="1" t="s">
        <v>39</v>
      </c>
      <c r="C176" s="1" t="s">
        <v>43</v>
      </c>
      <c r="D176" s="1" t="s">
        <v>53</v>
      </c>
      <c r="E176" s="1" t="str">
        <f>_xlfn.XLOOKUP(operations[[#This Row],[Category]],categories[Category],categories[Type],"",0,1)</f>
        <v>Expense</v>
      </c>
      <c r="F176" s="5">
        <v>45619</v>
      </c>
      <c r="G176" s="1">
        <f>MONTH(operations[[#This Row],[Date]])</f>
        <v>11</v>
      </c>
    </row>
    <row r="177" spans="1:7">
      <c r="A177" s="4">
        <v>-11</v>
      </c>
      <c r="B177" s="1" t="s">
        <v>39</v>
      </c>
      <c r="C177" s="1" t="s">
        <v>43</v>
      </c>
      <c r="D177" s="1" t="s">
        <v>56</v>
      </c>
      <c r="E177" s="1" t="str">
        <f>_xlfn.XLOOKUP(operations[[#This Row],[Category]],categories[Category],categories[Type],"",0,1)</f>
        <v>Expense</v>
      </c>
      <c r="F177" s="5">
        <v>45619</v>
      </c>
      <c r="G177" s="1">
        <f>MONTH(operations[[#This Row],[Date]])</f>
        <v>11</v>
      </c>
    </row>
    <row r="178" spans="1:7">
      <c r="A178" s="4">
        <v>-80</v>
      </c>
      <c r="B178" s="1" t="s">
        <v>39</v>
      </c>
      <c r="C178" s="1" t="s">
        <v>43</v>
      </c>
      <c r="D178" s="1" t="s">
        <v>49</v>
      </c>
      <c r="E178" s="1" t="str">
        <f>_xlfn.XLOOKUP(operations[[#This Row],[Category]],categories[Category],categories[Type],"",0,1)</f>
        <v>Expense</v>
      </c>
      <c r="F178" s="5">
        <v>45621</v>
      </c>
      <c r="G178" s="1">
        <f>MONTH(operations[[#This Row],[Date]])</f>
        <v>11</v>
      </c>
    </row>
    <row r="179" spans="1:7">
      <c r="A179" s="4">
        <v>-58</v>
      </c>
      <c r="B179" s="1" t="s">
        <v>39</v>
      </c>
      <c r="C179" s="1" t="s">
        <v>43</v>
      </c>
      <c r="D179" s="1" t="s">
        <v>51</v>
      </c>
      <c r="E179" s="1" t="str">
        <f>_xlfn.XLOOKUP(operations[[#This Row],[Category]],categories[Category],categories[Type],"",0,1)</f>
        <v>Expense</v>
      </c>
      <c r="F179" s="5">
        <v>45622</v>
      </c>
      <c r="G179" s="1">
        <f>MONTH(operations[[#This Row],[Date]])</f>
        <v>11</v>
      </c>
    </row>
    <row r="180" spans="1:7">
      <c r="A180" s="4">
        <v>-52</v>
      </c>
      <c r="B180" s="1" t="s">
        <v>39</v>
      </c>
      <c r="C180" s="1" t="s">
        <v>43</v>
      </c>
      <c r="D180" s="1" t="s">
        <v>56</v>
      </c>
      <c r="E180" s="1" t="str">
        <f>_xlfn.XLOOKUP(operations[[#This Row],[Category]],categories[Category],categories[Type],"",0,1)</f>
        <v>Expense</v>
      </c>
      <c r="F180" s="5">
        <v>45623</v>
      </c>
      <c r="G180" s="1">
        <f>MONTH(operations[[#This Row],[Date]])</f>
        <v>11</v>
      </c>
    </row>
    <row r="181" spans="1:7">
      <c r="A181" s="4">
        <v>-44</v>
      </c>
      <c r="B181" s="1" t="s">
        <v>39</v>
      </c>
      <c r="C181" s="1" t="s">
        <v>43</v>
      </c>
      <c r="D181" s="1" t="s">
        <v>49</v>
      </c>
      <c r="E181" s="1" t="str">
        <f>_xlfn.XLOOKUP(operations[[#This Row],[Category]],categories[Category],categories[Type],"",0,1)</f>
        <v>Expense</v>
      </c>
      <c r="F181" s="5">
        <v>45623</v>
      </c>
      <c r="G181" s="1">
        <f>MONTH(operations[[#This Row],[Date]])</f>
        <v>11</v>
      </c>
    </row>
    <row r="182" spans="1:7">
      <c r="A182" s="4">
        <v>-48</v>
      </c>
      <c r="B182" s="1" t="s">
        <v>39</v>
      </c>
      <c r="C182" s="1" t="s">
        <v>43</v>
      </c>
      <c r="D182" s="1" t="s">
        <v>56</v>
      </c>
      <c r="E182" s="1" t="str">
        <f>_xlfn.XLOOKUP(operations[[#This Row],[Category]],categories[Category],categories[Type],"",0,1)</f>
        <v>Expense</v>
      </c>
      <c r="F182" s="5">
        <v>45623</v>
      </c>
      <c r="G182" s="1">
        <f>MONTH(operations[[#This Row],[Date]])</f>
        <v>11</v>
      </c>
    </row>
    <row r="183" spans="1:7">
      <c r="A183" s="4">
        <v>-65</v>
      </c>
      <c r="B183" s="1" t="s">
        <v>39</v>
      </c>
      <c r="C183" s="1" t="s">
        <v>43</v>
      </c>
      <c r="D183" s="1" t="s">
        <v>54</v>
      </c>
      <c r="E183" s="1" t="str">
        <f>_xlfn.XLOOKUP(operations[[#This Row],[Category]],categories[Category],categories[Type],"",0,1)</f>
        <v>Expense</v>
      </c>
      <c r="F183" s="5">
        <v>45624</v>
      </c>
      <c r="G183" s="1">
        <f>MONTH(operations[[#This Row],[Date]])</f>
        <v>11</v>
      </c>
    </row>
    <row r="184" spans="1:7">
      <c r="A184" s="4">
        <v>400</v>
      </c>
      <c r="B184" s="1" t="s">
        <v>40</v>
      </c>
      <c r="C184" s="1" t="s">
        <v>48</v>
      </c>
      <c r="D184" s="1" t="s">
        <v>60</v>
      </c>
      <c r="E184" s="1" t="str">
        <f>_xlfn.XLOOKUP(operations[[#This Row],[Category]],categories[Category],categories[Type],"",0,1)</f>
        <v>Income</v>
      </c>
      <c r="F184" s="5">
        <v>45625</v>
      </c>
      <c r="G184" s="1">
        <f>MONTH(operations[[#This Row],[Date]])</f>
        <v>11</v>
      </c>
    </row>
    <row r="185" spans="1:7">
      <c r="A185" s="4">
        <v>-96</v>
      </c>
      <c r="B185" s="1" t="s">
        <v>39</v>
      </c>
      <c r="C185" s="1" t="s">
        <v>43</v>
      </c>
      <c r="D185" s="1" t="s">
        <v>51</v>
      </c>
      <c r="E185" s="1" t="str">
        <f>_xlfn.XLOOKUP(operations[[#This Row],[Category]],categories[Category],categories[Type],"",0,1)</f>
        <v>Expense</v>
      </c>
      <c r="F185" s="5">
        <v>45626</v>
      </c>
      <c r="G185" s="1">
        <f>MONTH(operations[[#This Row],[Date]])</f>
        <v>11</v>
      </c>
    </row>
    <row r="186" spans="1:7">
      <c r="A186" s="4">
        <v>-50</v>
      </c>
      <c r="B186" s="1" t="s">
        <v>39</v>
      </c>
      <c r="C186" s="1" t="s">
        <v>43</v>
      </c>
      <c r="D186" s="1" t="s">
        <v>51</v>
      </c>
      <c r="E186" s="1" t="str">
        <f>_xlfn.XLOOKUP(operations[[#This Row],[Category]],categories[Category],categories[Type],"",0,1)</f>
        <v>Expense</v>
      </c>
      <c r="F186" s="5">
        <v>45627</v>
      </c>
      <c r="G186" s="1">
        <f>MONTH(operations[[#This Row],[Date]])</f>
        <v>12</v>
      </c>
    </row>
    <row r="187" spans="1:7">
      <c r="A187" s="4">
        <v>-50</v>
      </c>
      <c r="B187" s="1" t="s">
        <v>39</v>
      </c>
      <c r="C187" s="1" t="s">
        <v>43</v>
      </c>
      <c r="D187" s="1" t="s">
        <v>51</v>
      </c>
      <c r="E187" s="1" t="str">
        <f>_xlfn.XLOOKUP(operations[[#This Row],[Category]],categories[Category],categories[Type],"",0,1)</f>
        <v>Expense</v>
      </c>
      <c r="F187" s="5">
        <v>45627</v>
      </c>
      <c r="G187" s="1">
        <f>MONTH(operations[[#This Row],[Date]])</f>
        <v>12</v>
      </c>
    </row>
    <row r="188" spans="1:7">
      <c r="A188" s="4">
        <v>-5</v>
      </c>
      <c r="B188" s="1" t="s">
        <v>39</v>
      </c>
      <c r="C188" s="1" t="s">
        <v>43</v>
      </c>
      <c r="D188" s="1" t="s">
        <v>52</v>
      </c>
      <c r="E188" s="1" t="str">
        <f>_xlfn.XLOOKUP(operations[[#This Row],[Category]],categories[Category],categories[Type],"",0,1)</f>
        <v>Expense</v>
      </c>
      <c r="F188" s="5">
        <v>45628</v>
      </c>
      <c r="G188" s="1">
        <f>MONTH(operations[[#This Row],[Date]])</f>
        <v>12</v>
      </c>
    </row>
    <row r="189" spans="1:7">
      <c r="A189" s="4">
        <v>-100</v>
      </c>
      <c r="B189" s="1" t="s">
        <v>39</v>
      </c>
      <c r="C189" s="1" t="s">
        <v>43</v>
      </c>
      <c r="D189" s="1" t="s">
        <v>54</v>
      </c>
      <c r="E189" s="1" t="str">
        <f>_xlfn.XLOOKUP(operations[[#This Row],[Category]],categories[Category],categories[Type],"",0,1)</f>
        <v>Expense</v>
      </c>
      <c r="F189" s="5">
        <v>45628</v>
      </c>
      <c r="G189" s="1">
        <f>MONTH(operations[[#This Row],[Date]])</f>
        <v>12</v>
      </c>
    </row>
    <row r="190" spans="1:7">
      <c r="A190" s="4">
        <v>-60</v>
      </c>
      <c r="B190" s="1" t="s">
        <v>39</v>
      </c>
      <c r="C190" s="1" t="s">
        <v>43</v>
      </c>
      <c r="D190" s="1" t="s">
        <v>45</v>
      </c>
      <c r="E190" s="1" t="str">
        <f>_xlfn.XLOOKUP(operations[[#This Row],[Category]],categories[Category],categories[Type],"",0,1)</f>
        <v>Expense</v>
      </c>
      <c r="F190" s="5">
        <v>45628</v>
      </c>
      <c r="G190" s="1">
        <f>MONTH(operations[[#This Row],[Date]])</f>
        <v>12</v>
      </c>
    </row>
    <row r="191" spans="1:7">
      <c r="A191" s="4">
        <v>-5</v>
      </c>
      <c r="B191" s="1" t="s">
        <v>39</v>
      </c>
      <c r="C191" s="1" t="s">
        <v>43</v>
      </c>
      <c r="D191" s="1" t="s">
        <v>52</v>
      </c>
      <c r="E191" s="1" t="str">
        <f>_xlfn.XLOOKUP(operations[[#This Row],[Category]],categories[Category],categories[Type],"",0,1)</f>
        <v>Expense</v>
      </c>
      <c r="F191" s="5">
        <v>45628</v>
      </c>
      <c r="G191" s="1">
        <f>MONTH(operations[[#This Row],[Date]])</f>
        <v>12</v>
      </c>
    </row>
    <row r="192" spans="1:7">
      <c r="A192" s="4">
        <v>-100</v>
      </c>
      <c r="B192" s="1" t="s">
        <v>39</v>
      </c>
      <c r="C192" s="1" t="s">
        <v>43</v>
      </c>
      <c r="D192" s="1" t="s">
        <v>54</v>
      </c>
      <c r="E192" s="1" t="str">
        <f>_xlfn.XLOOKUP(operations[[#This Row],[Category]],categories[Category],categories[Type],"",0,1)</f>
        <v>Expense</v>
      </c>
      <c r="F192" s="5">
        <v>45628</v>
      </c>
      <c r="G192" s="1">
        <f>MONTH(operations[[#This Row],[Date]])</f>
        <v>12</v>
      </c>
    </row>
    <row r="193" spans="1:7">
      <c r="A193" s="4">
        <v>-60</v>
      </c>
      <c r="B193" s="1" t="s">
        <v>39</v>
      </c>
      <c r="C193" s="1" t="s">
        <v>43</v>
      </c>
      <c r="D193" s="1" t="s">
        <v>45</v>
      </c>
      <c r="E193" s="1" t="str">
        <f>_xlfn.XLOOKUP(operations[[#This Row],[Category]],categories[Category],categories[Type],"",0,1)</f>
        <v>Expense</v>
      </c>
      <c r="F193" s="5">
        <v>45628</v>
      </c>
      <c r="G193" s="1">
        <f>MONTH(operations[[#This Row],[Date]])</f>
        <v>12</v>
      </c>
    </row>
    <row r="194" spans="1:7">
      <c r="A194" s="4">
        <v>-150</v>
      </c>
      <c r="B194" s="1" t="s">
        <v>39</v>
      </c>
      <c r="C194" s="1" t="s">
        <v>43</v>
      </c>
      <c r="D194" s="1" t="s">
        <v>49</v>
      </c>
      <c r="E194" s="1" t="str">
        <f>_xlfn.XLOOKUP(operations[[#This Row],[Category]],categories[Category],categories[Type],"",0,1)</f>
        <v>Expense</v>
      </c>
      <c r="F194" s="5">
        <v>45629</v>
      </c>
      <c r="G194" s="1">
        <f>MONTH(operations[[#This Row],[Date]])</f>
        <v>12</v>
      </c>
    </row>
    <row r="195" spans="1:7">
      <c r="A195" s="4">
        <v>-150</v>
      </c>
      <c r="B195" s="1" t="s">
        <v>39</v>
      </c>
      <c r="C195" s="1" t="s">
        <v>43</v>
      </c>
      <c r="D195" s="1" t="s">
        <v>49</v>
      </c>
      <c r="E195" s="1" t="str">
        <f>_xlfn.XLOOKUP(operations[[#This Row],[Category]],categories[Category],categories[Type],"",0,1)</f>
        <v>Expense</v>
      </c>
      <c r="F195" s="5">
        <v>45629</v>
      </c>
      <c r="G195" s="1">
        <f>MONTH(operations[[#This Row],[Date]])</f>
        <v>12</v>
      </c>
    </row>
    <row r="196" spans="1:7">
      <c r="A196" s="4">
        <v>-100</v>
      </c>
      <c r="B196" s="1" t="s">
        <v>39</v>
      </c>
      <c r="C196" s="1" t="s">
        <v>43</v>
      </c>
      <c r="D196" s="1" t="s">
        <v>51</v>
      </c>
      <c r="E196" s="1" t="str">
        <f>_xlfn.XLOOKUP(operations[[#This Row],[Category]],categories[Category],categories[Type],"",0,1)</f>
        <v>Expense</v>
      </c>
      <c r="F196" s="5">
        <v>45632</v>
      </c>
      <c r="G196" s="1">
        <f>MONTH(operations[[#This Row],[Date]])</f>
        <v>12</v>
      </c>
    </row>
    <row r="197" spans="1:7">
      <c r="A197" s="4">
        <v>-100</v>
      </c>
      <c r="B197" s="1" t="s">
        <v>39</v>
      </c>
      <c r="C197" s="1" t="s">
        <v>43</v>
      </c>
      <c r="D197" s="1" t="s">
        <v>51</v>
      </c>
      <c r="E197" s="1" t="str">
        <f>_xlfn.XLOOKUP(operations[[#This Row],[Category]],categories[Category],categories[Type],"",0,1)</f>
        <v>Expense</v>
      </c>
      <c r="F197" s="5">
        <v>45632</v>
      </c>
      <c r="G197" s="1">
        <f>MONTH(operations[[#This Row],[Date]])</f>
        <v>12</v>
      </c>
    </row>
    <row r="198" spans="1:7">
      <c r="A198" s="4">
        <v>4500</v>
      </c>
      <c r="B198" s="1" t="s">
        <v>39</v>
      </c>
      <c r="C198" s="1" t="s">
        <v>43</v>
      </c>
      <c r="D198" s="1" t="s">
        <v>62</v>
      </c>
      <c r="E198" s="1" t="str">
        <f>_xlfn.XLOOKUP(operations[[#This Row],[Category]],categories[Category],categories[Type],"",0,1)</f>
        <v>Income</v>
      </c>
      <c r="F198" s="5">
        <v>45636</v>
      </c>
      <c r="G198" s="1">
        <f>MONTH(operations[[#This Row],[Date]])</f>
        <v>12</v>
      </c>
    </row>
    <row r="199" spans="1:7">
      <c r="A199" s="4">
        <v>-2000</v>
      </c>
      <c r="B199" s="1" t="s">
        <v>39</v>
      </c>
      <c r="C199" s="1" t="s">
        <v>43</v>
      </c>
      <c r="D199" s="1" t="s">
        <v>41</v>
      </c>
      <c r="E199" s="1" t="str">
        <f>_xlfn.XLOOKUP(operations[[#This Row],[Category]],categories[Category],categories[Type],"",0,1)</f>
        <v>Expense</v>
      </c>
      <c r="F199" s="5">
        <v>45637</v>
      </c>
      <c r="G199" s="1">
        <f>MONTH(operations[[#This Row],[Date]])</f>
        <v>12</v>
      </c>
    </row>
    <row r="200" spans="1:7">
      <c r="A200" s="4">
        <v>-50</v>
      </c>
      <c r="B200" s="1" t="s">
        <v>39</v>
      </c>
      <c r="C200" s="1" t="s">
        <v>43</v>
      </c>
      <c r="D200" s="1" t="s">
        <v>49</v>
      </c>
      <c r="E200" s="1" t="str">
        <f>_xlfn.XLOOKUP(operations[[#This Row],[Category]],categories[Category],categories[Type],"",0,1)</f>
        <v>Expense</v>
      </c>
      <c r="F200" s="5">
        <v>45640</v>
      </c>
      <c r="G200" s="1">
        <f>MONTH(operations[[#This Row],[Date]])</f>
        <v>12</v>
      </c>
    </row>
    <row r="201" spans="1:7">
      <c r="A201" s="4">
        <v>-100</v>
      </c>
      <c r="B201" s="1" t="s">
        <v>39</v>
      </c>
      <c r="C201" s="1" t="s">
        <v>43</v>
      </c>
      <c r="D201" s="1" t="s">
        <v>55</v>
      </c>
      <c r="E201" s="1" t="str">
        <f>_xlfn.XLOOKUP(operations[[#This Row],[Category]],categories[Category],categories[Type],"",0,1)</f>
        <v>Expense</v>
      </c>
      <c r="F201" s="5">
        <v>45641</v>
      </c>
      <c r="G201" s="1">
        <f>MONTH(operations[[#This Row],[Date]])</f>
        <v>12</v>
      </c>
    </row>
    <row r="202" spans="1:7">
      <c r="A202" s="4">
        <v>-100</v>
      </c>
      <c r="B202" s="1" t="s">
        <v>39</v>
      </c>
      <c r="C202" s="1" t="s">
        <v>43</v>
      </c>
      <c r="D202" s="1" t="s">
        <v>51</v>
      </c>
      <c r="E202" s="1" t="str">
        <f>_xlfn.XLOOKUP(operations[[#This Row],[Category]],categories[Category],categories[Type],"",0,1)</f>
        <v>Expense</v>
      </c>
      <c r="F202" s="5">
        <v>45644</v>
      </c>
      <c r="G202" s="1">
        <f>MONTH(operations[[#This Row],[Date]])</f>
        <v>12</v>
      </c>
    </row>
    <row r="203" spans="1:7">
      <c r="A203" s="4">
        <v>500</v>
      </c>
      <c r="B203" s="1" t="s">
        <v>40</v>
      </c>
      <c r="C203" s="1" t="s">
        <v>48</v>
      </c>
      <c r="D203" s="1" t="s">
        <v>60</v>
      </c>
      <c r="E203" s="1" t="str">
        <f>_xlfn.XLOOKUP(operations[[#This Row],[Category]],categories[Category],categories[Type],"",0,1)</f>
        <v>Income</v>
      </c>
      <c r="F203" s="5">
        <v>45648</v>
      </c>
      <c r="G203" s="1">
        <f>MONTH(operations[[#This Row],[Date]])</f>
        <v>12</v>
      </c>
    </row>
    <row r="204" spans="1:7">
      <c r="A204" s="4">
        <v>-100</v>
      </c>
      <c r="B204" s="1" t="s">
        <v>40</v>
      </c>
      <c r="C204" s="1" t="s">
        <v>48</v>
      </c>
      <c r="D204" s="1" t="s">
        <v>49</v>
      </c>
      <c r="E204" s="1" t="str">
        <f>_xlfn.XLOOKUP(operations[[#This Row],[Category]],categories[Category],categories[Type],"",0,1)</f>
        <v>Expense</v>
      </c>
      <c r="F204" s="5">
        <v>45649</v>
      </c>
      <c r="G204" s="1">
        <f>MONTH(operations[[#This Row],[Date]])</f>
        <v>12</v>
      </c>
    </row>
    <row r="205" spans="1:7">
      <c r="A205" s="4">
        <v>1500</v>
      </c>
      <c r="B205" s="1" t="s">
        <v>40</v>
      </c>
      <c r="C205" s="1" t="s">
        <v>48</v>
      </c>
      <c r="D205" s="1" t="s">
        <v>60</v>
      </c>
      <c r="E205" s="1" t="str">
        <f>_xlfn.XLOOKUP(operations[[#This Row],[Category]],categories[Category],categories[Type],"",0,1)</f>
        <v>Income</v>
      </c>
      <c r="F205" s="5">
        <v>45650</v>
      </c>
      <c r="G205" s="1">
        <f>MONTH(operations[[#This Row],[Date]])</f>
        <v>12</v>
      </c>
    </row>
    <row r="206" spans="1:7">
      <c r="A206" s="4">
        <v>-500</v>
      </c>
      <c r="B206" s="1" t="s">
        <v>40</v>
      </c>
      <c r="C206" s="1" t="s">
        <v>48</v>
      </c>
      <c r="D206" s="1" t="s">
        <v>54</v>
      </c>
      <c r="E206" s="1" t="str">
        <f>_xlfn.XLOOKUP(operations[[#This Row],[Category]],categories[Category],categories[Type],"",0,1)</f>
        <v>Expense</v>
      </c>
      <c r="F206" s="5">
        <v>45654</v>
      </c>
      <c r="G206" s="1">
        <f>MONTH(operations[[#This Row],[Date]])</f>
        <v>12</v>
      </c>
    </row>
    <row r="207" spans="1:7">
      <c r="A207" s="4">
        <v>-300</v>
      </c>
      <c r="B207" s="1" t="s">
        <v>40</v>
      </c>
      <c r="C207" s="1" t="s">
        <v>48</v>
      </c>
      <c r="D207" s="1" t="s">
        <v>51</v>
      </c>
      <c r="E207" s="1" t="str">
        <f>_xlfn.XLOOKUP(operations[[#This Row],[Category]],categories[Category],categories[Type],"",0,1)</f>
        <v>Expense</v>
      </c>
      <c r="F207" s="5">
        <v>45656</v>
      </c>
      <c r="G207" s="1">
        <f>MONTH(operations[[#This Row],[Date]])</f>
        <v>12</v>
      </c>
    </row>
  </sheetData>
  <dataValidations count="3">
    <dataValidation type="list" allowBlank="1" showInputMessage="1" showErrorMessage="1" sqref="B2:B207">
      <formula1>dictionary!$H$1:$J$1</formula1>
    </dataValidation>
    <dataValidation type="list" allowBlank="1" showInputMessage="1" showErrorMessage="1" sqref="C2:C207">
      <formula1>CHOOSE(MATCH(B2,dictionary!$H$1:$J$1,0),_xlfn._TRO_TRAILING(dictionary!$H$2:$H$8),_xlfn._TRO_TRAILING(dictionary!$I$2:$I$8),_xlfn._TRO_TRAILING(dictionary!$J$2:$J$8))</formula1>
    </dataValidation>
    <dataValidation type="list" allowBlank="1" showInputMessage="1" showErrorMessage="1" sqref="D2:D207">
      <formula1>$D$2:$D$207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E20" sqref="E20"/>
    </sheetView>
  </sheetViews>
  <sheetFormatPr defaultColWidth="9" defaultRowHeight="14.4"/>
  <cols>
    <col min="2" max="2" width="18.3333333333333" customWidth="1"/>
    <col min="3" max="3" width="18" customWidth="1"/>
    <col min="4" max="4" width="12.1111111111111" customWidth="1"/>
    <col min="5" max="5" width="16.8888888888889" customWidth="1"/>
    <col min="7" max="7" width="15.1111111111111" customWidth="1"/>
    <col min="8" max="8" width="11.4444444444444" customWidth="1"/>
    <col min="10" max="10" width="15.1111111111111" customWidth="1"/>
    <col min="11" max="11" width="11.4444444444444" customWidth="1"/>
  </cols>
  <sheetData>
    <row r="1" spans="1:14">
      <c r="A1" t="s">
        <v>1</v>
      </c>
      <c r="B1" t="s">
        <v>37</v>
      </c>
      <c r="C1" t="s">
        <v>68</v>
      </c>
      <c r="D1" t="s">
        <v>69</v>
      </c>
      <c r="E1" t="s">
        <v>70</v>
      </c>
      <c r="G1" t="s">
        <v>35</v>
      </c>
      <c r="H1" s="2" t="s">
        <v>71</v>
      </c>
      <c r="J1" t="s">
        <v>35</v>
      </c>
      <c r="K1" t="s">
        <v>71</v>
      </c>
      <c r="N1" t="s">
        <v>36</v>
      </c>
    </row>
    <row r="2" spans="1:14">
      <c r="A2" t="s">
        <v>38</v>
      </c>
      <c r="B2" t="s">
        <v>43</v>
      </c>
      <c r="C2" s="3">
        <v>100</v>
      </c>
      <c r="D2" s="3">
        <f ca="1">SUMIFS(operations[Amount],operations[Bank],raports_1[[#This Row],[Bank]],operations[Product],raports_1[[#This Row],[Product]],operations[Month],$B$12)</f>
        <v>-35</v>
      </c>
      <c r="E2" s="3">
        <f ca="1">raports_1[[#This Row],[Opening balance]]+raports_1[[#This Row],[Operation]]</f>
        <v>65</v>
      </c>
      <c r="G2" t="s">
        <v>41</v>
      </c>
      <c r="H2" s="2">
        <f ca="1">SUMIFS(operations[Amount],operations[Category],Expenses[[#This Row],[Category]],operations[Month],'1'!$B$12)</f>
        <v>-2000</v>
      </c>
      <c r="J2" t="s">
        <v>54</v>
      </c>
      <c r="K2" s="3">
        <f ca="1">SUMIFS(operations[Amount],operations[Category],Table9[[#This Row],[Category]],operations[Month],'1'!$B$12)</f>
        <v>-500</v>
      </c>
      <c r="N2" t="s">
        <v>42</v>
      </c>
    </row>
    <row r="3" spans="1:14">
      <c r="A3" t="s">
        <v>38</v>
      </c>
      <c r="B3" t="s">
        <v>46</v>
      </c>
      <c r="C3" s="3">
        <v>10.5</v>
      </c>
      <c r="D3" s="3">
        <f ca="1">SUMIFS(operations[Amount],operations[Bank],raports_1[[#This Row],[Bank]],operations[Product],raports_1[[#This Row],[Product]],operations[Month],$B$12)</f>
        <v>255.5</v>
      </c>
      <c r="E3" s="3">
        <f ca="1">raports_1[[#This Row],[Opening balance]]+raports_1[[#This Row],[Operation]]</f>
        <v>266</v>
      </c>
      <c r="G3" t="s">
        <v>45</v>
      </c>
      <c r="H3" s="2">
        <f ca="1">SUMIFS(operations[Amount],operations[Category],Expenses[[#This Row],[Category]],operations[Month],'1'!$B$12)</f>
        <v>-80</v>
      </c>
      <c r="J3" t="s">
        <v>55</v>
      </c>
      <c r="K3" s="3">
        <f ca="1">SUMIFS(operations[Amount],operations[Category],Table9[[#This Row],[Category]],operations[Month],'1'!$B$12)</f>
        <v>-100</v>
      </c>
      <c r="N3" t="s">
        <v>42</v>
      </c>
    </row>
    <row r="4" spans="1:14">
      <c r="A4" t="s">
        <v>39</v>
      </c>
      <c r="B4" t="s">
        <v>43</v>
      </c>
      <c r="C4" s="3">
        <v>600</v>
      </c>
      <c r="D4" s="3">
        <f ca="1">SUMIFS(operations[Amount],operations[Bank],raports_1[[#This Row],[Bank]],operations[Product],raports_1[[#This Row],[Product]],operations[Month],$B$12)</f>
        <v>1100</v>
      </c>
      <c r="E4" s="3">
        <f ca="1">raports_1[[#This Row],[Opening balance]]+raports_1[[#This Row],[Operation]]</f>
        <v>1700</v>
      </c>
      <c r="G4" t="s">
        <v>49</v>
      </c>
      <c r="H4" s="2">
        <f ca="1">SUMIFS(operations[Amount],operations[Category],Expenses[[#This Row],[Category]],operations[Month],'1'!$B$12)</f>
        <v>-85</v>
      </c>
      <c r="J4" t="s">
        <v>56</v>
      </c>
      <c r="K4" s="3">
        <f ca="1">SUMIFS(operations[Amount],operations[Category],Table9[[#This Row],[Category]],operations[Month],'1'!$B$12)</f>
        <v>-80</v>
      </c>
      <c r="N4" t="s">
        <v>42</v>
      </c>
    </row>
    <row r="5" spans="1:14">
      <c r="A5" t="s">
        <v>39</v>
      </c>
      <c r="B5" t="s">
        <v>47</v>
      </c>
      <c r="C5" s="3">
        <v>0</v>
      </c>
      <c r="D5" s="3">
        <f ca="1">SUMIFS(operations[Amount],operations[Bank],raports_1[[#This Row],[Bank]],operations[Product],raports_1[[#This Row],[Product]],operations[Month],$B$12)</f>
        <v>-175</v>
      </c>
      <c r="E5" s="3">
        <f ca="1">raports_1[[#This Row],[Opening balance]]+raports_1[[#This Row],[Operation]]</f>
        <v>-175</v>
      </c>
      <c r="G5" t="s">
        <v>51</v>
      </c>
      <c r="H5" s="2">
        <f ca="1">SUMIFS(operations[Amount],operations[Category],Expenses[[#This Row],[Category]],operations[Month],'1'!$B$12)</f>
        <v>-1715</v>
      </c>
      <c r="J5" t="s">
        <v>57</v>
      </c>
      <c r="K5" s="3">
        <f ca="1">SUMIFS(operations[Amount],operations[Category],Table9[[#This Row],[Category]],operations[Month],'1'!$B$12)</f>
        <v>250</v>
      </c>
      <c r="N5" t="s">
        <v>42</v>
      </c>
    </row>
    <row r="6" spans="1:14">
      <c r="A6" t="s">
        <v>39</v>
      </c>
      <c r="B6" t="s">
        <v>50</v>
      </c>
      <c r="C6" s="3">
        <v>2000</v>
      </c>
      <c r="D6" s="3">
        <f ca="1">SUMIFS(operations[Amount],operations[Bank],raports_1[[#This Row],[Bank]],operations[Product],raports_1[[#This Row],[Product]],operations[Month],$B$12)</f>
        <v>-400</v>
      </c>
      <c r="E6" s="3">
        <f ca="1">raports_1[[#This Row],[Opening balance]]+raports_1[[#This Row],[Operation]]</f>
        <v>1600</v>
      </c>
      <c r="G6" t="s">
        <v>52</v>
      </c>
      <c r="H6" s="2">
        <f ca="1">SUMIFS(operations[Amount],operations[Category],Expenses[[#This Row],[Category]],operations[Month],'1'!$B$12)</f>
        <v>-100</v>
      </c>
      <c r="J6" t="s">
        <v>59</v>
      </c>
      <c r="K6" s="3">
        <f ca="1">SUMIFS(operations[Amount],operations[Category],Table9[[#This Row],[Category]],operations[Month],'1'!$B$12)</f>
        <v>105.5</v>
      </c>
      <c r="N6" t="s">
        <v>42</v>
      </c>
    </row>
    <row r="7" spans="1:14">
      <c r="A7" t="s">
        <v>40</v>
      </c>
      <c r="B7" t="s">
        <v>44</v>
      </c>
      <c r="C7" s="3">
        <v>200</v>
      </c>
      <c r="D7" s="3">
        <f ca="1">SUMIFS(operations[Amount],operations[Bank],raports_1[[#This Row],[Bank]],operations[Product],raports_1[[#This Row],[Product]],operations[Month],$B$12)</f>
        <v>-50</v>
      </c>
      <c r="E7" s="3">
        <f ca="1">raports_1[[#This Row],[Opening balance]]+raports_1[[#This Row],[Operation]]</f>
        <v>150</v>
      </c>
      <c r="G7" t="s">
        <v>53</v>
      </c>
      <c r="H7" s="2">
        <f ca="1">SUMIFS(operations[Amount],operations[Category],Expenses[[#This Row],[Category]],operations[Month],'1'!$B$12)</f>
        <v>-150</v>
      </c>
      <c r="J7" t="s">
        <v>60</v>
      </c>
      <c r="K7" s="3">
        <f ca="1">SUMIFS(operations[Amount],operations[Category],Table9[[#This Row],[Category]],operations[Month],'1'!$B$12)</f>
        <v>0</v>
      </c>
      <c r="N7" t="s">
        <v>42</v>
      </c>
    </row>
    <row r="8" spans="1:14">
      <c r="A8" t="s">
        <v>40</v>
      </c>
      <c r="B8" t="s">
        <v>48</v>
      </c>
      <c r="C8" s="3">
        <v>30</v>
      </c>
      <c r="D8" s="3">
        <f ca="1">SUMIFS(operations[Amount],operations[Bank],raports_1[[#This Row],[Bank]],operations[Product],raports_1[[#This Row],[Product]],operations[Month],$B$12)</f>
        <v>150</v>
      </c>
      <c r="E8" s="3">
        <f ca="1">raports_1[[#This Row],[Opening balance]]+raports_1[[#This Row],[Operation]]</f>
        <v>180</v>
      </c>
      <c r="G8" t="s">
        <v>71</v>
      </c>
      <c r="H8" s="3">
        <f ca="1">SUBTOTAL(109,Expenses[Total])</f>
        <v>-4130</v>
      </c>
      <c r="J8" t="s">
        <v>61</v>
      </c>
      <c r="K8" s="3">
        <f ca="1">SUMIFS(operations[Amount],operations[Category],Table9[[#This Row],[Category]],operations[Month],'1'!$B$12)</f>
        <v>800</v>
      </c>
      <c r="N8" t="s">
        <v>42</v>
      </c>
    </row>
    <row r="9" spans="1:14">
      <c r="A9" s="3" t="s">
        <v>71</v>
      </c>
      <c r="B9" s="3"/>
      <c r="C9" s="3">
        <f>SUBTOTAL(109,raports_1[Opening balance])</f>
        <v>2940.5</v>
      </c>
      <c r="D9" s="3">
        <f ca="1">SUBTOTAL(109,raports_1[Operation])</f>
        <v>845.5</v>
      </c>
      <c r="E9" s="3">
        <f ca="1">SUBTOTAL(109,raports_1[Closing balance])</f>
        <v>3786</v>
      </c>
      <c r="J9" t="s">
        <v>62</v>
      </c>
      <c r="K9" s="3">
        <f ca="1">SUMIFS(operations[Amount],operations[Category],Table9[[#This Row],[Category]],operations[Month],'1'!$B$12)</f>
        <v>4500</v>
      </c>
      <c r="N9" t="s">
        <v>42</v>
      </c>
    </row>
    <row r="10" spans="10:14">
      <c r="J10" t="s">
        <v>63</v>
      </c>
      <c r="K10" s="3">
        <f ca="1">SUMIFS(operations[Amount],operations[Category],Table9[[#This Row],[Category]],operations[Month],'1'!$B$12)</f>
        <v>0</v>
      </c>
      <c r="N10" t="s">
        <v>42</v>
      </c>
    </row>
    <row r="11" spans="10:14">
      <c r="J11" t="s">
        <v>64</v>
      </c>
      <c r="K11" s="3">
        <f ca="1">SUMIFS(operations[Amount],operations[Category],Table9[[#This Row],[Category]],operations[Month],'1'!$B$12)</f>
        <v>0</v>
      </c>
      <c r="N11" t="s">
        <v>58</v>
      </c>
    </row>
    <row r="12" spans="1:14">
      <c r="A12" t="s">
        <v>67</v>
      </c>
      <c r="B12" t="str" cm="1">
        <f ca="1" t="array" ref="B12">_xlfn.TEXTAFTER(CELL("filename",A1),"]")</f>
        <v>1</v>
      </c>
      <c r="J12" t="s">
        <v>71</v>
      </c>
      <c r="K12" s="3">
        <f ca="1">SUBTOTAL(109,Table9[Total])</f>
        <v>4975.5</v>
      </c>
      <c r="N12" t="s">
        <v>58</v>
      </c>
    </row>
    <row r="13" spans="14:14">
      <c r="N13" t="s">
        <v>58</v>
      </c>
    </row>
    <row r="14" spans="1:14">
      <c r="A14" t="s">
        <v>36</v>
      </c>
      <c r="B14" t="s">
        <v>71</v>
      </c>
      <c r="N14" t="s">
        <v>58</v>
      </c>
    </row>
    <row r="15" spans="1:14">
      <c r="A15" t="s">
        <v>58</v>
      </c>
      <c r="B15" s="3">
        <f ca="1">SUMIFS(operations[Amount],operations[Type],balance_1[[#This Row],[Type]],operations[Month],'1'!$B$12)</f>
        <v>5655.5</v>
      </c>
      <c r="N15" t="s">
        <v>58</v>
      </c>
    </row>
    <row r="16" spans="1:14">
      <c r="A16" t="s">
        <v>42</v>
      </c>
      <c r="B16" s="3">
        <f ca="1">SUMIFS(operations[Amount],operations[Type],balance_1[[#This Row],[Type]],operations[Month],'1'!$B$12)</f>
        <v>-4810</v>
      </c>
      <c r="N16" t="s">
        <v>58</v>
      </c>
    </row>
    <row r="17" spans="1:14">
      <c r="A17" t="s">
        <v>64</v>
      </c>
      <c r="B17" s="3">
        <f ca="1">SUMIFS(operations[Amount],operations[Type],balance_1[[#This Row],[Type]],operations[Month],'1'!$B$12)</f>
        <v>0</v>
      </c>
      <c r="N17" t="s">
        <v>64</v>
      </c>
    </row>
    <row r="18" spans="1:2">
      <c r="A18" t="s">
        <v>71</v>
      </c>
      <c r="B18" s="3">
        <f ca="1">SUBTOTAL(109,balance_1[Total])</f>
        <v>845.5</v>
      </c>
    </row>
  </sheetData>
  <pageMargins left="0.7" right="0.7" top="0.75" bottom="0.75" header="0.3" footer="0.3"/>
  <headerFooter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G13" sqref="G13"/>
    </sheetView>
  </sheetViews>
  <sheetFormatPr defaultColWidth="9" defaultRowHeight="14.4"/>
  <cols>
    <col min="2" max="2" width="18.3333333333333" customWidth="1"/>
    <col min="3" max="3" width="18" customWidth="1"/>
    <col min="4" max="4" width="12.1111111111111" customWidth="1"/>
    <col min="5" max="5" width="16.8888888888889" customWidth="1"/>
    <col min="7" max="7" width="15.1111111111111" customWidth="1"/>
    <col min="8" max="8" width="11.4444444444444" customWidth="1"/>
    <col min="10" max="10" width="15.1111111111111" customWidth="1"/>
    <col min="11" max="11" width="11.4444444444444" customWidth="1"/>
  </cols>
  <sheetData>
    <row r="1" spans="1:14">
      <c r="A1" t="s">
        <v>1</v>
      </c>
      <c r="B1" t="s">
        <v>37</v>
      </c>
      <c r="C1" t="s">
        <v>68</v>
      </c>
      <c r="D1" t="s">
        <v>69</v>
      </c>
      <c r="E1" t="s">
        <v>70</v>
      </c>
      <c r="G1" t="s">
        <v>35</v>
      </c>
      <c r="H1" s="2" t="s">
        <v>71</v>
      </c>
      <c r="J1" t="s">
        <v>35</v>
      </c>
      <c r="K1" t="s">
        <v>71</v>
      </c>
      <c r="N1" t="s">
        <v>36</v>
      </c>
    </row>
    <row r="2" spans="1:14">
      <c r="A2" t="s">
        <v>38</v>
      </c>
      <c r="B2" t="s">
        <v>43</v>
      </c>
      <c r="C2" s="3" t="e" cm="1">
        <f ca="1" t="array" ref="C2">INDIRECT("raport_"&amp;$B$12-1&amp;"[@[Closing balance ]]")</f>
        <v>#REF!</v>
      </c>
      <c r="D2" s="3">
        <f ca="1">SUMIFS(operations[Amount],operations[Bank],raports_2[[#This Row],[Bank]],operations[Product],raports_2[[#This Row],[Product]],operations[Month],$B$12)</f>
        <v>35</v>
      </c>
      <c r="E2" s="3" t="e">
        <f ca="1">raports_2[[#This Row],[Opening balance]]+raports_2[[#This Row],[Operation]]</f>
        <v>#REF!</v>
      </c>
      <c r="G2" t="s">
        <v>41</v>
      </c>
      <c r="H2" s="2">
        <f ca="1">SUMIFS(operations[Amount],operations[Category],Expenses2[[#This Row],[Category]],operations[Month],'1'!$B$12)</f>
        <v>-2000</v>
      </c>
      <c r="J2" t="s">
        <v>54</v>
      </c>
      <c r="K2" s="3"/>
      <c r="N2" t="s">
        <v>42</v>
      </c>
    </row>
    <row r="3" spans="1:14">
      <c r="A3" t="s">
        <v>38</v>
      </c>
      <c r="B3" t="s">
        <v>46</v>
      </c>
      <c r="C3" s="3">
        <v>10.5</v>
      </c>
      <c r="D3" s="3">
        <f ca="1">SUMIFS(operations[Amount],operations[Bank],raports_2[[#This Row],[Bank]],operations[Product],raports_2[[#This Row],[Product]],operations[Month],$B$12)</f>
        <v>15</v>
      </c>
      <c r="E3" s="3">
        <f ca="1">raports_2[[#This Row],[Opening balance]]+raports_2[[#This Row],[Operation]]</f>
        <v>25.5</v>
      </c>
      <c r="G3" t="s">
        <v>45</v>
      </c>
      <c r="H3" s="2">
        <f ca="1">SUMIFS(operations[Amount],operations[Category],Expenses2[[#This Row],[Category]],operations[Month],'1'!$B$12)</f>
        <v>-80</v>
      </c>
      <c r="J3" t="s">
        <v>55</v>
      </c>
      <c r="K3" s="3">
        <f ca="1">SUMIFS(operations[Amount],operations[Category],Table916[[#This Row],[Category]],operations[Month],'1'!$B$12)</f>
        <v>-100</v>
      </c>
      <c r="N3" t="s">
        <v>42</v>
      </c>
    </row>
    <row r="4" spans="1:14">
      <c r="A4" t="s">
        <v>39</v>
      </c>
      <c r="B4" t="s">
        <v>43</v>
      </c>
      <c r="C4" s="3">
        <v>600</v>
      </c>
      <c r="D4" s="3">
        <f ca="1">SUMIFS(operations[Amount],operations[Bank],raports_2[[#This Row],[Bank]],operations[Product],raports_2[[#This Row],[Product]],operations[Month],$B$12)</f>
        <v>2039.5</v>
      </c>
      <c r="E4" s="3">
        <f ca="1">raports_2[[#This Row],[Opening balance]]+raports_2[[#This Row],[Operation]]</f>
        <v>2639.5</v>
      </c>
      <c r="G4" t="s">
        <v>49</v>
      </c>
      <c r="H4" s="2">
        <f ca="1">SUMIFS(operations[Amount],operations[Category],Expenses2[[#This Row],[Category]],operations[Month],'1'!$B$12)</f>
        <v>-85</v>
      </c>
      <c r="J4" t="s">
        <v>56</v>
      </c>
      <c r="K4" s="3">
        <f ca="1">SUMIFS(operations[Amount],operations[Category],Table916[[#This Row],[Category]],operations[Month],'1'!$B$12)</f>
        <v>-80</v>
      </c>
      <c r="N4" t="s">
        <v>42</v>
      </c>
    </row>
    <row r="5" spans="1:14">
      <c r="A5" t="s">
        <v>39</v>
      </c>
      <c r="B5" t="s">
        <v>47</v>
      </c>
      <c r="C5" s="3">
        <v>0</v>
      </c>
      <c r="D5" s="3">
        <f ca="1">SUMIFS(operations[Amount],operations[Bank],raports_2[[#This Row],[Bank]],operations[Product],raports_2[[#This Row],[Product]],operations[Month],$B$12)</f>
        <v>175</v>
      </c>
      <c r="E5" s="3">
        <f ca="1">raports_2[[#This Row],[Opening balance]]+raports_2[[#This Row],[Operation]]</f>
        <v>175</v>
      </c>
      <c r="G5" t="s">
        <v>51</v>
      </c>
      <c r="H5" s="2">
        <f ca="1">SUMIFS(operations[Amount],operations[Category],Expenses2[[#This Row],[Category]],operations[Month],'1'!$B$12)</f>
        <v>-1715</v>
      </c>
      <c r="J5" t="s">
        <v>57</v>
      </c>
      <c r="K5" s="3">
        <f ca="1">SUMIFS(operations[Amount],operations[Category],Table916[[#This Row],[Category]],operations[Month],'1'!$B$12)</f>
        <v>250</v>
      </c>
      <c r="N5" t="s">
        <v>42</v>
      </c>
    </row>
    <row r="6" spans="1:14">
      <c r="A6" t="s">
        <v>39</v>
      </c>
      <c r="B6" t="s">
        <v>50</v>
      </c>
      <c r="C6" s="3">
        <v>2000</v>
      </c>
      <c r="D6" s="3">
        <f ca="1">SUMIFS(operations[Amount],operations[Bank],raports_2[[#This Row],[Bank]],operations[Product],raports_2[[#This Row],[Product]],operations[Month],$B$12)</f>
        <v>-400</v>
      </c>
      <c r="E6" s="3">
        <f ca="1">raports_2[[#This Row],[Opening balance]]+raports_2[[#This Row],[Operation]]</f>
        <v>1600</v>
      </c>
      <c r="G6" t="s">
        <v>52</v>
      </c>
      <c r="H6" s="2">
        <f ca="1">SUMIFS(operations[Amount],operations[Category],Expenses2[[#This Row],[Category]],operations[Month],'1'!$B$12)</f>
        <v>-100</v>
      </c>
      <c r="J6" t="s">
        <v>59</v>
      </c>
      <c r="K6" s="3">
        <f ca="1">SUMIFS(operations[Amount],operations[Category],Table916[[#This Row],[Category]],operations[Month],'1'!$B$12)</f>
        <v>105.5</v>
      </c>
      <c r="N6" t="s">
        <v>42</v>
      </c>
    </row>
    <row r="7" spans="1:14">
      <c r="A7" t="s">
        <v>40</v>
      </c>
      <c r="B7" t="s">
        <v>44</v>
      </c>
      <c r="C7" s="3">
        <v>200</v>
      </c>
      <c r="D7" s="3">
        <f ca="1">SUMIFS(operations[Amount],operations[Bank],raports_2[[#This Row],[Bank]],operations[Product],raports_2[[#This Row],[Product]],operations[Month],$B$12)</f>
        <v>100</v>
      </c>
      <c r="E7" s="3">
        <f ca="1">raports_2[[#This Row],[Opening balance]]+raports_2[[#This Row],[Operation]]</f>
        <v>300</v>
      </c>
      <c r="G7" t="s">
        <v>53</v>
      </c>
      <c r="H7" s="2">
        <f ca="1">SUMIFS(operations[Amount],operations[Category],Expenses2[[#This Row],[Category]],operations[Month],'1'!$B$12)</f>
        <v>-150</v>
      </c>
      <c r="J7" t="s">
        <v>60</v>
      </c>
      <c r="K7" s="3">
        <f ca="1">SUMIFS(operations[Amount],operations[Category],Table916[[#This Row],[Category]],operations[Month],'1'!$B$12)</f>
        <v>0</v>
      </c>
      <c r="N7" t="s">
        <v>42</v>
      </c>
    </row>
    <row r="8" spans="1:14">
      <c r="A8" t="s">
        <v>40</v>
      </c>
      <c r="B8" t="s">
        <v>48</v>
      </c>
      <c r="C8" s="3">
        <v>30</v>
      </c>
      <c r="D8" s="3">
        <f ca="1">SUMIFS(operations[Amount],operations[Bank],raports_2[[#This Row],[Bank]],operations[Product],raports_2[[#This Row],[Product]],operations[Month],$B$12)</f>
        <v>500</v>
      </c>
      <c r="E8" s="3">
        <f ca="1">raports_2[[#This Row],[Opening balance]]+raports_2[[#This Row],[Operation]]</f>
        <v>530</v>
      </c>
      <c r="G8" t="s">
        <v>71</v>
      </c>
      <c r="H8" s="3">
        <f ca="1">SUBTOTAL(109,Expenses2[Total])</f>
        <v>-4130</v>
      </c>
      <c r="J8" t="s">
        <v>61</v>
      </c>
      <c r="K8" s="3">
        <f ca="1">SUMIFS(operations[Amount],operations[Category],Table916[[#This Row],[Category]],operations[Month],'1'!$B$12)</f>
        <v>800</v>
      </c>
      <c r="N8" t="s">
        <v>42</v>
      </c>
    </row>
    <row r="9" spans="1:14">
      <c r="A9" s="3" t="s">
        <v>71</v>
      </c>
      <c r="B9" s="3"/>
      <c r="C9" s="3" t="e">
        <f ca="1">SUBTOTAL(109,raports_2[Opening balance])</f>
        <v>#REF!</v>
      </c>
      <c r="D9" s="3">
        <f ca="1">SUBTOTAL(109,raports_2[Operation])</f>
        <v>2464.5</v>
      </c>
      <c r="E9" s="3" t="e">
        <f ca="1">SUBTOTAL(109,raports_2[Closing balance])</f>
        <v>#REF!</v>
      </c>
      <c r="J9" t="s">
        <v>62</v>
      </c>
      <c r="K9" s="3">
        <f ca="1">SUMIFS(operations[Amount],operations[Category],Table916[[#This Row],[Category]],operations[Month],'1'!$B$12)</f>
        <v>4500</v>
      </c>
      <c r="N9" t="s">
        <v>42</v>
      </c>
    </row>
    <row r="10" spans="10:14">
      <c r="J10" t="s">
        <v>63</v>
      </c>
      <c r="K10" s="3">
        <f ca="1">SUMIFS(operations[Amount],operations[Category],Table916[[#This Row],[Category]],operations[Month],'1'!$B$12)</f>
        <v>0</v>
      </c>
      <c r="N10" t="s">
        <v>42</v>
      </c>
    </row>
    <row r="11" spans="10:14">
      <c r="J11" t="s">
        <v>64</v>
      </c>
      <c r="K11" s="3">
        <f ca="1">SUMIFS(operations[Amount],operations[Category],Table916[[#This Row],[Category]],operations[Month],'1'!$B$12)</f>
        <v>0</v>
      </c>
      <c r="N11" t="s">
        <v>58</v>
      </c>
    </row>
    <row r="12" spans="1:14">
      <c r="A12" t="s">
        <v>67</v>
      </c>
      <c r="B12" t="str" cm="1">
        <f ca="1" t="array" ref="B12">_xlfn.TEXTAFTER(CELL("filename",A1),"]")</f>
        <v>2</v>
      </c>
      <c r="J12" t="s">
        <v>71</v>
      </c>
      <c r="K12" s="3">
        <f ca="1">SUBTOTAL(109,Table916[Total])</f>
        <v>5475.5</v>
      </c>
      <c r="N12" t="s">
        <v>58</v>
      </c>
    </row>
    <row r="13" spans="7:14">
      <c r="G13" t="s">
        <v>72</v>
      </c>
      <c r="N13" t="s">
        <v>58</v>
      </c>
    </row>
    <row r="14" spans="1:14">
      <c r="A14" t="s">
        <v>36</v>
      </c>
      <c r="B14" t="s">
        <v>71</v>
      </c>
      <c r="N14" t="s">
        <v>58</v>
      </c>
    </row>
    <row r="15" spans="1:14">
      <c r="A15" t="s">
        <v>58</v>
      </c>
      <c r="B15" s="3">
        <f ca="1">SUMIFS(operations[Amount],operations[Type],balance_2[[#This Row],[Type]],operations[Month],'1'!$B$12)</f>
        <v>5655.5</v>
      </c>
      <c r="N15" t="s">
        <v>58</v>
      </c>
    </row>
    <row r="16" spans="1:14">
      <c r="A16" t="s">
        <v>42</v>
      </c>
      <c r="B16" s="3">
        <f ca="1">SUMIFS(operations[Amount],operations[Type],balance_2[[#This Row],[Type]],operations[Month],'1'!$B$12)</f>
        <v>-4810</v>
      </c>
      <c r="N16" t="s">
        <v>58</v>
      </c>
    </row>
    <row r="17" spans="1:14">
      <c r="A17" t="s">
        <v>64</v>
      </c>
      <c r="B17" s="3">
        <f ca="1">SUMIFS(operations[Amount],operations[Type],balance_2[[#This Row],[Type]],operations[Month],'1'!$B$12)</f>
        <v>0</v>
      </c>
      <c r="N17" t="s">
        <v>64</v>
      </c>
    </row>
    <row r="18" spans="1:2">
      <c r="A18" t="s">
        <v>71</v>
      </c>
      <c r="B18" s="3">
        <f ca="1">SUBTOTAL(109,balance_2[Total])</f>
        <v>845.5</v>
      </c>
    </row>
  </sheetData>
  <pageMargins left="0.7" right="0.7" top="0.75" bottom="0.75" header="0.3" footer="0.3"/>
  <headerFooter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C2" sqref="C2"/>
    </sheetView>
  </sheetViews>
  <sheetFormatPr defaultColWidth="9" defaultRowHeight="14.4"/>
  <cols>
    <col min="2" max="2" width="18.3333333333333" customWidth="1"/>
    <col min="3" max="3" width="18" customWidth="1"/>
    <col min="4" max="4" width="12.1111111111111" customWidth="1"/>
    <col min="5" max="5" width="16.8888888888889" customWidth="1"/>
    <col min="7" max="7" width="15.1111111111111" customWidth="1"/>
    <col min="8" max="8" width="11.4444444444444" customWidth="1"/>
    <col min="10" max="10" width="15.1111111111111" customWidth="1"/>
    <col min="11" max="11" width="11.4444444444444" customWidth="1"/>
  </cols>
  <sheetData>
    <row r="1" spans="1:14">
      <c r="A1" t="s">
        <v>1</v>
      </c>
      <c r="B1" t="s">
        <v>37</v>
      </c>
      <c r="C1" t="s">
        <v>68</v>
      </c>
      <c r="D1" t="s">
        <v>69</v>
      </c>
      <c r="E1" t="s">
        <v>70</v>
      </c>
      <c r="G1" t="s">
        <v>35</v>
      </c>
      <c r="H1" s="2" t="s">
        <v>71</v>
      </c>
      <c r="J1" t="s">
        <v>35</v>
      </c>
      <c r="K1" t="s">
        <v>71</v>
      </c>
      <c r="N1" t="s">
        <v>36</v>
      </c>
    </row>
    <row r="2" spans="1:14">
      <c r="A2" t="s">
        <v>38</v>
      </c>
      <c r="B2" t="s">
        <v>43</v>
      </c>
      <c r="C2" s="3" t="e" cm="1">
        <f ca="1" t="array" ref="C2">INDIRECT("raport_"&amp;$B$12-1&amp;"[@[Closing balance ]]")</f>
        <v>#REF!</v>
      </c>
      <c r="D2" s="3">
        <f ca="1">SUMIFS(operations[Amount],operations[Bank],raports_3[[#This Row],[Bank]],operations[Product],raports_3[[#This Row],[Product]],operations[Month],$B$12)</f>
        <v>67.5</v>
      </c>
      <c r="E2" s="3" t="e">
        <f ca="1">raports_3[[#This Row],[Opening balance]]+raports_3[[#This Row],[Operation]]</f>
        <v>#REF!</v>
      </c>
      <c r="G2" t="s">
        <v>41</v>
      </c>
      <c r="H2" s="2">
        <f ca="1">SUMIFS(operations[Amount],operations[Category],Expenses3[[#This Row],[Category]],operations[Month],'1'!$B$12)</f>
        <v>-2000</v>
      </c>
      <c r="J2" t="s">
        <v>54</v>
      </c>
      <c r="K2" s="3"/>
      <c r="N2" t="s">
        <v>42</v>
      </c>
    </row>
    <row r="3" spans="1:14">
      <c r="A3" t="s">
        <v>38</v>
      </c>
      <c r="B3" t="s">
        <v>46</v>
      </c>
      <c r="C3" s="3">
        <v>10.5</v>
      </c>
      <c r="D3" s="3">
        <f ca="1">SUMIFS(operations[Amount],operations[Bank],raports_3[[#This Row],[Bank]],operations[Product],raports_3[[#This Row],[Product]],operations[Month],$B$12)</f>
        <v>5</v>
      </c>
      <c r="E3" s="3">
        <f ca="1">raports_3[[#This Row],[Opening balance]]+raports_3[[#This Row],[Operation]]</f>
        <v>15.5</v>
      </c>
      <c r="G3" t="s">
        <v>45</v>
      </c>
      <c r="H3" s="2">
        <f ca="1">SUMIFS(operations[Amount],operations[Category],Expenses3[[#This Row],[Category]],operations[Month],'1'!$B$12)</f>
        <v>-80</v>
      </c>
      <c r="J3" t="s">
        <v>55</v>
      </c>
      <c r="K3" s="3">
        <f ca="1">SUMIFS(operations[Amount],operations[Category],Table91624[[#This Row],[Category]],operations[Month],'1'!$B$12)</f>
        <v>-100</v>
      </c>
      <c r="N3" t="s">
        <v>42</v>
      </c>
    </row>
    <row r="4" spans="1:14">
      <c r="A4" t="s">
        <v>39</v>
      </c>
      <c r="B4" t="s">
        <v>43</v>
      </c>
      <c r="C4" s="3">
        <v>600</v>
      </c>
      <c r="D4" s="3">
        <f ca="1">SUMIFS(operations[Amount],operations[Bank],raports_3[[#This Row],[Bank]],operations[Product],raports_3[[#This Row],[Product]],operations[Month],$B$12)</f>
        <v>821.6</v>
      </c>
      <c r="E4" s="3">
        <f ca="1">raports_3[[#This Row],[Opening balance]]+raports_3[[#This Row],[Operation]]</f>
        <v>1421.6</v>
      </c>
      <c r="G4" t="s">
        <v>49</v>
      </c>
      <c r="H4" s="2">
        <f ca="1">SUMIFS(operations[Amount],operations[Category],Expenses3[[#This Row],[Category]],operations[Month],'1'!$B$12)</f>
        <v>-85</v>
      </c>
      <c r="J4" t="s">
        <v>56</v>
      </c>
      <c r="K4" s="3">
        <f ca="1">SUMIFS(operations[Amount],operations[Category],Table91624[[#This Row],[Category]],operations[Month],'1'!$B$12)</f>
        <v>-80</v>
      </c>
      <c r="N4" t="s">
        <v>42</v>
      </c>
    </row>
    <row r="5" spans="1:14">
      <c r="A5" t="s">
        <v>39</v>
      </c>
      <c r="B5" t="s">
        <v>47</v>
      </c>
      <c r="C5" s="3">
        <v>0</v>
      </c>
      <c r="D5" s="3">
        <f ca="1">SUMIFS(operations[Amount],operations[Bank],raports_3[[#This Row],[Bank]],operations[Product],raports_3[[#This Row],[Product]],operations[Month],$B$12)</f>
        <v>-104.5</v>
      </c>
      <c r="E5" s="3">
        <f ca="1">raports_3[[#This Row],[Opening balance]]+raports_3[[#This Row],[Operation]]</f>
        <v>-104.5</v>
      </c>
      <c r="G5" t="s">
        <v>51</v>
      </c>
      <c r="H5" s="2">
        <f ca="1">SUMIFS(operations[Amount],operations[Category],Expenses3[[#This Row],[Category]],operations[Month],'1'!$B$12)</f>
        <v>-1715</v>
      </c>
      <c r="J5" t="s">
        <v>57</v>
      </c>
      <c r="K5" s="3">
        <f ca="1">SUMIFS(operations[Amount],operations[Category],Table91624[[#This Row],[Category]],operations[Month],'1'!$B$12)</f>
        <v>250</v>
      </c>
      <c r="N5" t="s">
        <v>42</v>
      </c>
    </row>
    <row r="6" spans="1:14">
      <c r="A6" t="s">
        <v>39</v>
      </c>
      <c r="B6" t="s">
        <v>50</v>
      </c>
      <c r="C6" s="3">
        <v>2000</v>
      </c>
      <c r="D6" s="3">
        <f ca="1">SUMIFS(operations[Amount],operations[Bank],raports_3[[#This Row],[Bank]],operations[Product],raports_3[[#This Row],[Product]],operations[Month],$B$12)</f>
        <v>0</v>
      </c>
      <c r="E6" s="3">
        <f ca="1">raports_3[[#This Row],[Opening balance]]+raports_3[[#This Row],[Operation]]</f>
        <v>2000</v>
      </c>
      <c r="G6" t="s">
        <v>52</v>
      </c>
      <c r="H6" s="2">
        <f ca="1">SUMIFS(operations[Amount],operations[Category],Expenses3[[#This Row],[Category]],operations[Month],'1'!$B$12)</f>
        <v>-100</v>
      </c>
      <c r="J6" t="s">
        <v>59</v>
      </c>
      <c r="K6" s="3">
        <f ca="1">SUMIFS(operations[Amount],operations[Category],Table91624[[#This Row],[Category]],operations[Month],'1'!$B$12)</f>
        <v>105.5</v>
      </c>
      <c r="N6" t="s">
        <v>42</v>
      </c>
    </row>
    <row r="7" spans="1:14">
      <c r="A7" t="s">
        <v>40</v>
      </c>
      <c r="B7" t="s">
        <v>44</v>
      </c>
      <c r="C7" s="3">
        <v>200</v>
      </c>
      <c r="D7" s="3">
        <f ca="1">SUMIFS(operations[Amount],operations[Bank],raports_3[[#This Row],[Bank]],operations[Product],raports_3[[#This Row],[Product]],operations[Month],$B$12)</f>
        <v>-24.49</v>
      </c>
      <c r="E7" s="3">
        <f ca="1">raports_3[[#This Row],[Opening balance]]+raports_3[[#This Row],[Operation]]</f>
        <v>175.51</v>
      </c>
      <c r="G7" t="s">
        <v>53</v>
      </c>
      <c r="H7" s="2">
        <f ca="1">SUMIFS(operations[Amount],operations[Category],Expenses3[[#This Row],[Category]],operations[Month],'1'!$B$12)</f>
        <v>-150</v>
      </c>
      <c r="J7" t="s">
        <v>60</v>
      </c>
      <c r="K7" s="3">
        <f ca="1">SUMIFS(operations[Amount],operations[Category],Table91624[[#This Row],[Category]],operations[Month],'1'!$B$12)</f>
        <v>0</v>
      </c>
      <c r="N7" t="s">
        <v>42</v>
      </c>
    </row>
    <row r="8" spans="1:14">
      <c r="A8" t="s">
        <v>40</v>
      </c>
      <c r="B8" t="s">
        <v>48</v>
      </c>
      <c r="C8" s="3">
        <v>30</v>
      </c>
      <c r="D8" s="3">
        <f ca="1">SUMIFS(operations[Amount],operations[Bank],raports_3[[#This Row],[Bank]],operations[Product],raports_3[[#This Row],[Product]],operations[Month],$B$12)</f>
        <v>-9.5</v>
      </c>
      <c r="E8" s="3">
        <f ca="1">raports_3[[#This Row],[Opening balance]]+raports_3[[#This Row],[Operation]]</f>
        <v>20.5</v>
      </c>
      <c r="G8" t="s">
        <v>71</v>
      </c>
      <c r="H8" s="3">
        <f ca="1">SUBTOTAL(109,Expenses3[Total])</f>
        <v>-4130</v>
      </c>
      <c r="J8" t="s">
        <v>61</v>
      </c>
      <c r="K8" s="3">
        <f ca="1">SUMIFS(operations[Amount],operations[Category],Table91624[[#This Row],[Category]],operations[Month],'1'!$B$12)</f>
        <v>800</v>
      </c>
      <c r="N8" t="s">
        <v>42</v>
      </c>
    </row>
    <row r="9" spans="1:14">
      <c r="A9" s="3" t="s">
        <v>71</v>
      </c>
      <c r="B9" s="3"/>
      <c r="C9" s="3" t="e">
        <f ca="1">SUBTOTAL(109,raports_3[Opening balance])</f>
        <v>#REF!</v>
      </c>
      <c r="D9" s="3">
        <f ca="1">SUBTOTAL(109,raports_3[Operation])</f>
        <v>755.61</v>
      </c>
      <c r="E9" s="3" t="e">
        <f ca="1">SUBTOTAL(109,raports_3[Closing balance])</f>
        <v>#REF!</v>
      </c>
      <c r="J9" t="s">
        <v>62</v>
      </c>
      <c r="K9" s="3">
        <f ca="1">SUMIFS(operations[Amount],operations[Category],Table91624[[#This Row],[Category]],operations[Month],'1'!$B$12)</f>
        <v>4500</v>
      </c>
      <c r="N9" t="s">
        <v>42</v>
      </c>
    </row>
    <row r="10" spans="10:14">
      <c r="J10" t="s">
        <v>63</v>
      </c>
      <c r="K10" s="3">
        <f ca="1">SUMIFS(operations[Amount],operations[Category],Table91624[[#This Row],[Category]],operations[Month],'1'!$B$12)</f>
        <v>0</v>
      </c>
      <c r="N10" t="s">
        <v>42</v>
      </c>
    </row>
    <row r="11" spans="10:14">
      <c r="J11" t="s">
        <v>64</v>
      </c>
      <c r="K11" s="3">
        <f ca="1">SUMIFS(operations[Amount],operations[Category],Table91624[[#This Row],[Category]],operations[Month],'1'!$B$12)</f>
        <v>0</v>
      </c>
      <c r="N11" t="s">
        <v>58</v>
      </c>
    </row>
    <row r="12" spans="1:14">
      <c r="A12" t="s">
        <v>67</v>
      </c>
      <c r="B12" t="str" cm="1">
        <f ca="1" t="array" ref="B12">_xlfn.TEXTAFTER(CELL("filename",A1),"]")</f>
        <v>3</v>
      </c>
      <c r="J12" t="s">
        <v>71</v>
      </c>
      <c r="K12" s="3">
        <f ca="1">SUBTOTAL(109,Table91624[Total])</f>
        <v>5475.5</v>
      </c>
      <c r="N12" t="s">
        <v>58</v>
      </c>
    </row>
    <row r="13" spans="7:14">
      <c r="G13" t="s">
        <v>72</v>
      </c>
      <c r="N13" t="s">
        <v>58</v>
      </c>
    </row>
    <row r="14" spans="1:14">
      <c r="A14" t="s">
        <v>36</v>
      </c>
      <c r="B14" t="s">
        <v>71</v>
      </c>
      <c r="N14" t="s">
        <v>58</v>
      </c>
    </row>
    <row r="15" spans="1:14">
      <c r="A15" t="s">
        <v>58</v>
      </c>
      <c r="B15" s="3">
        <f ca="1">SUMIFS(operations[Amount],operations[Type],balance_3[[#This Row],[Type]],operations[Month],'1'!$B$12)</f>
        <v>5655.5</v>
      </c>
      <c r="N15" t="s">
        <v>58</v>
      </c>
    </row>
    <row r="16" spans="1:14">
      <c r="A16" t="s">
        <v>42</v>
      </c>
      <c r="B16" s="3">
        <f ca="1">SUMIFS(operations[Amount],operations[Type],balance_3[[#This Row],[Type]],operations[Month],'1'!$B$12)</f>
        <v>-4810</v>
      </c>
      <c r="N16" t="s">
        <v>58</v>
      </c>
    </row>
    <row r="17" spans="1:14">
      <c r="A17" t="s">
        <v>64</v>
      </c>
      <c r="B17" s="3">
        <f ca="1">SUMIFS(operations[Amount],operations[Type],balance_3[[#This Row],[Type]],operations[Month],'1'!$B$12)</f>
        <v>0</v>
      </c>
      <c r="N17" t="s">
        <v>64</v>
      </c>
    </row>
    <row r="18" spans="1:2">
      <c r="A18" t="s">
        <v>71</v>
      </c>
      <c r="B18" s="3">
        <f ca="1">SUBTOTAL(109,balance_3[Total])</f>
        <v>845.5</v>
      </c>
    </row>
  </sheetData>
  <pageMargins left="0.7" right="0.7" top="0.75" bottom="0.75" header="0.3" footer="0.3"/>
  <headerFooter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C2" sqref="C2"/>
    </sheetView>
  </sheetViews>
  <sheetFormatPr defaultColWidth="9" defaultRowHeight="14.4"/>
  <cols>
    <col min="2" max="2" width="18.3333333333333" customWidth="1"/>
    <col min="3" max="3" width="18" customWidth="1"/>
    <col min="4" max="4" width="12.1111111111111" customWidth="1"/>
    <col min="5" max="5" width="16.8888888888889" customWidth="1"/>
    <col min="7" max="7" width="15.1111111111111" customWidth="1"/>
    <col min="8" max="8" width="11.4444444444444" customWidth="1"/>
    <col min="10" max="10" width="15.1111111111111" customWidth="1"/>
    <col min="11" max="11" width="11.4444444444444" customWidth="1"/>
  </cols>
  <sheetData>
    <row r="1" spans="1:14">
      <c r="A1" t="s">
        <v>1</v>
      </c>
      <c r="B1" t="s">
        <v>37</v>
      </c>
      <c r="C1" t="s">
        <v>68</v>
      </c>
      <c r="D1" t="s">
        <v>69</v>
      </c>
      <c r="E1" t="s">
        <v>70</v>
      </c>
      <c r="G1" t="s">
        <v>35</v>
      </c>
      <c r="H1" s="2" t="s">
        <v>71</v>
      </c>
      <c r="J1" t="s">
        <v>35</v>
      </c>
      <c r="K1" t="s">
        <v>71</v>
      </c>
      <c r="N1" t="s">
        <v>36</v>
      </c>
    </row>
    <row r="2" spans="1:14">
      <c r="A2" t="s">
        <v>38</v>
      </c>
      <c r="B2" t="s">
        <v>43</v>
      </c>
      <c r="C2" s="3" t="e" cm="1">
        <f ca="1" t="array" ref="C2">INDIRECT("raport_"&amp;$B$12-1&amp;"[@[Closing balance ]]")</f>
        <v>#REF!</v>
      </c>
      <c r="D2" s="3">
        <f ca="1">SUMIFS(operations[Amount],operations[Bank],raports_4[[#This Row],[Bank]],operations[Product],raports_4[[#This Row],[Product]],operations[Month],$B$12)</f>
        <v>101</v>
      </c>
      <c r="E2" s="3" t="e">
        <f ca="1">raports_4[[#This Row],[Opening balance]]+raports_4[[#This Row],[Operation]]</f>
        <v>#REF!</v>
      </c>
      <c r="G2" t="s">
        <v>41</v>
      </c>
      <c r="H2" s="2">
        <f ca="1">SUMIFS(operations[Amount],operations[Category],Expenses4[[#This Row],[Category]],operations[Month],'1'!$B$12)</f>
        <v>-2000</v>
      </c>
      <c r="J2" t="s">
        <v>54</v>
      </c>
      <c r="K2" s="3"/>
      <c r="N2" t="s">
        <v>42</v>
      </c>
    </row>
    <row r="3" spans="1:14">
      <c r="A3" t="s">
        <v>38</v>
      </c>
      <c r="B3" t="s">
        <v>46</v>
      </c>
      <c r="C3" s="3">
        <v>10.5</v>
      </c>
      <c r="D3" s="3">
        <f ca="1">SUMIFS(operations[Amount],operations[Bank],raports_4[[#This Row],[Bank]],operations[Product],raports_4[[#This Row],[Product]],operations[Month],$B$12)</f>
        <v>50</v>
      </c>
      <c r="E3" s="3">
        <f ca="1">raports_4[[#This Row],[Opening balance]]+raports_4[[#This Row],[Operation]]</f>
        <v>60.5</v>
      </c>
      <c r="G3" t="s">
        <v>45</v>
      </c>
      <c r="H3" s="2">
        <f ca="1">SUMIFS(operations[Amount],operations[Category],Expenses4[[#This Row],[Category]],operations[Month],'1'!$B$12)</f>
        <v>-80</v>
      </c>
      <c r="J3" t="s">
        <v>55</v>
      </c>
      <c r="K3" s="3">
        <f ca="1">SUMIFS(operations[Amount],operations[Category],Table91628[[#This Row],[Category]],operations[Month],'1'!$B$12)</f>
        <v>-100</v>
      </c>
      <c r="N3" t="s">
        <v>42</v>
      </c>
    </row>
    <row r="4" spans="1:14">
      <c r="A4" t="s">
        <v>39</v>
      </c>
      <c r="B4" t="s">
        <v>43</v>
      </c>
      <c r="C4" s="3">
        <v>600</v>
      </c>
      <c r="D4" s="3">
        <f ca="1">SUMIFS(operations[Amount],operations[Bank],raports_4[[#This Row],[Bank]],operations[Product],raports_4[[#This Row],[Product]],operations[Month],$B$12)</f>
        <v>562.73</v>
      </c>
      <c r="E4" s="3">
        <f ca="1">raports_4[[#This Row],[Opening balance]]+raports_4[[#This Row],[Operation]]</f>
        <v>1162.73</v>
      </c>
      <c r="G4" t="s">
        <v>49</v>
      </c>
      <c r="H4" s="2">
        <f ca="1">SUMIFS(operations[Amount],operations[Category],Expenses4[[#This Row],[Category]],operations[Month],'1'!$B$12)</f>
        <v>-85</v>
      </c>
      <c r="J4" t="s">
        <v>56</v>
      </c>
      <c r="K4" s="3">
        <f ca="1">SUMIFS(operations[Amount],operations[Category],Table91628[[#This Row],[Category]],operations[Month],'1'!$B$12)</f>
        <v>-80</v>
      </c>
      <c r="N4" t="s">
        <v>42</v>
      </c>
    </row>
    <row r="5" spans="1:14">
      <c r="A5" t="s">
        <v>39</v>
      </c>
      <c r="B5" t="s">
        <v>47</v>
      </c>
      <c r="C5" s="3">
        <v>0</v>
      </c>
      <c r="D5" s="3">
        <f ca="1">SUMIFS(operations[Amount],operations[Bank],raports_4[[#This Row],[Bank]],operations[Product],raports_4[[#This Row],[Product]],operations[Month],$B$12)</f>
        <v>13.11</v>
      </c>
      <c r="E5" s="3">
        <f ca="1">raports_4[[#This Row],[Opening balance]]+raports_4[[#This Row],[Operation]]</f>
        <v>13.11</v>
      </c>
      <c r="G5" t="s">
        <v>51</v>
      </c>
      <c r="H5" s="2">
        <f ca="1">SUMIFS(operations[Amount],operations[Category],Expenses4[[#This Row],[Category]],operations[Month],'1'!$B$12)</f>
        <v>-1715</v>
      </c>
      <c r="J5" t="s">
        <v>57</v>
      </c>
      <c r="K5" s="3">
        <f ca="1">SUMIFS(operations[Amount],operations[Category],Table91628[[#This Row],[Category]],operations[Month],'1'!$B$12)</f>
        <v>250</v>
      </c>
      <c r="N5" t="s">
        <v>42</v>
      </c>
    </row>
    <row r="6" spans="1:14">
      <c r="A6" t="s">
        <v>39</v>
      </c>
      <c r="B6" t="s">
        <v>50</v>
      </c>
      <c r="C6" s="3">
        <v>2000</v>
      </c>
      <c r="D6" s="3">
        <f ca="1">SUMIFS(operations[Amount],operations[Bank],raports_4[[#This Row],[Bank]],operations[Product],raports_4[[#This Row],[Product]],operations[Month],$B$12)</f>
        <v>0</v>
      </c>
      <c r="E6" s="3">
        <f ca="1">raports_4[[#This Row],[Opening balance]]+raports_4[[#This Row],[Operation]]</f>
        <v>2000</v>
      </c>
      <c r="G6" t="s">
        <v>52</v>
      </c>
      <c r="H6" s="2">
        <f ca="1">SUMIFS(operations[Amount],operations[Category],Expenses4[[#This Row],[Category]],operations[Month],'1'!$B$12)</f>
        <v>-100</v>
      </c>
      <c r="J6" t="s">
        <v>59</v>
      </c>
      <c r="K6" s="3">
        <f ca="1">SUMIFS(operations[Amount],operations[Category],Table91628[[#This Row],[Category]],operations[Month],'1'!$B$12)</f>
        <v>105.5</v>
      </c>
      <c r="N6" t="s">
        <v>42</v>
      </c>
    </row>
    <row r="7" spans="1:14">
      <c r="A7" t="s">
        <v>40</v>
      </c>
      <c r="B7" t="s">
        <v>44</v>
      </c>
      <c r="C7" s="3">
        <v>200</v>
      </c>
      <c r="D7" s="3">
        <f ca="1">SUMIFS(operations[Amount],operations[Bank],raports_4[[#This Row],[Bank]],operations[Product],raports_4[[#This Row],[Product]],operations[Month],$B$12)</f>
        <v>0</v>
      </c>
      <c r="E7" s="3">
        <f ca="1">raports_4[[#This Row],[Opening balance]]+raports_4[[#This Row],[Operation]]</f>
        <v>200</v>
      </c>
      <c r="G7" t="s">
        <v>53</v>
      </c>
      <c r="H7" s="2">
        <f ca="1">SUMIFS(operations[Amount],operations[Category],Expenses4[[#This Row],[Category]],operations[Month],'1'!$B$12)</f>
        <v>-150</v>
      </c>
      <c r="J7" t="s">
        <v>60</v>
      </c>
      <c r="K7" s="3">
        <f ca="1">SUMIFS(operations[Amount],operations[Category],Table91628[[#This Row],[Category]],operations[Month],'1'!$B$12)</f>
        <v>0</v>
      </c>
      <c r="N7" t="s">
        <v>42</v>
      </c>
    </row>
    <row r="8" spans="1:14">
      <c r="A8" t="s">
        <v>40</v>
      </c>
      <c r="B8" t="s">
        <v>48</v>
      </c>
      <c r="C8" s="3">
        <v>30</v>
      </c>
      <c r="D8" s="3">
        <f ca="1">SUMIFS(operations[Amount],operations[Bank],raports_4[[#This Row],[Bank]],operations[Product],raports_4[[#This Row],[Product]],operations[Month],$B$12)</f>
        <v>0</v>
      </c>
      <c r="E8" s="3">
        <f ca="1">raports_4[[#This Row],[Opening balance]]+raports_4[[#This Row],[Operation]]</f>
        <v>30</v>
      </c>
      <c r="G8" t="s">
        <v>71</v>
      </c>
      <c r="H8" s="3">
        <f ca="1">SUBTOTAL(109,Expenses4[Total])</f>
        <v>-4130</v>
      </c>
      <c r="J8" t="s">
        <v>61</v>
      </c>
      <c r="K8" s="3">
        <f ca="1">SUMIFS(operations[Amount],operations[Category],Table91628[[#This Row],[Category]],operations[Month],'1'!$B$12)</f>
        <v>800</v>
      </c>
      <c r="N8" t="s">
        <v>42</v>
      </c>
    </row>
    <row r="9" spans="1:14">
      <c r="A9" s="3" t="s">
        <v>71</v>
      </c>
      <c r="B9" s="3"/>
      <c r="C9" s="3" t="e">
        <f ca="1">SUBTOTAL(109,raports_4[Opening balance])</f>
        <v>#REF!</v>
      </c>
      <c r="D9" s="3">
        <f ca="1">SUBTOTAL(109,raports_4[Operation])</f>
        <v>726.84</v>
      </c>
      <c r="E9" s="3" t="e">
        <f ca="1">SUBTOTAL(109,raports_4[Closing balance])</f>
        <v>#REF!</v>
      </c>
      <c r="J9" t="s">
        <v>62</v>
      </c>
      <c r="K9" s="3">
        <f ca="1">SUMIFS(operations[Amount],operations[Category],Table91628[[#This Row],[Category]],operations[Month],'1'!$B$12)</f>
        <v>4500</v>
      </c>
      <c r="N9" t="s">
        <v>42</v>
      </c>
    </row>
    <row r="10" spans="10:14">
      <c r="J10" t="s">
        <v>63</v>
      </c>
      <c r="K10" s="3">
        <f ca="1">SUMIFS(operations[Amount],operations[Category],Table91628[[#This Row],[Category]],operations[Month],'1'!$B$12)</f>
        <v>0</v>
      </c>
      <c r="N10" t="s">
        <v>42</v>
      </c>
    </row>
    <row r="11" spans="10:14">
      <c r="J11" t="s">
        <v>64</v>
      </c>
      <c r="K11" s="3">
        <f ca="1">SUMIFS(operations[Amount],operations[Category],Table91628[[#This Row],[Category]],operations[Month],'1'!$B$12)</f>
        <v>0</v>
      </c>
      <c r="N11" t="s">
        <v>58</v>
      </c>
    </row>
    <row r="12" spans="1:14">
      <c r="A12" t="s">
        <v>67</v>
      </c>
      <c r="B12" t="str" cm="1">
        <f ca="1" t="array" ref="B12">_xlfn.TEXTAFTER(CELL("filename",A1),"]")</f>
        <v>4</v>
      </c>
      <c r="J12" t="s">
        <v>71</v>
      </c>
      <c r="K12" s="3">
        <f ca="1">SUBTOTAL(109,Table91628[Total])</f>
        <v>5475.5</v>
      </c>
      <c r="N12" t="s">
        <v>58</v>
      </c>
    </row>
    <row r="13" spans="7:14">
      <c r="G13" t="s">
        <v>72</v>
      </c>
      <c r="N13" t="s">
        <v>58</v>
      </c>
    </row>
    <row r="14" spans="1:14">
      <c r="A14" t="s">
        <v>36</v>
      </c>
      <c r="B14" t="s">
        <v>71</v>
      </c>
      <c r="N14" t="s">
        <v>58</v>
      </c>
    </row>
    <row r="15" spans="1:14">
      <c r="A15" t="s">
        <v>58</v>
      </c>
      <c r="B15" s="3">
        <f ca="1">SUMIFS(operations[Amount],operations[Type],balance_4[[#This Row],[Type]],operations[Month],'1'!$B$12)</f>
        <v>5655.5</v>
      </c>
      <c r="N15" t="s">
        <v>58</v>
      </c>
    </row>
    <row r="16" spans="1:14">
      <c r="A16" t="s">
        <v>42</v>
      </c>
      <c r="B16" s="3">
        <f ca="1">SUMIFS(operations[Amount],operations[Type],balance_4[[#This Row],[Type]],operations[Month],'1'!$B$12)</f>
        <v>-4810</v>
      </c>
      <c r="N16" t="s">
        <v>58</v>
      </c>
    </row>
    <row r="17" spans="1:14">
      <c r="A17" t="s">
        <v>64</v>
      </c>
      <c r="B17" s="3">
        <f ca="1">SUMIFS(operations[Amount],operations[Type],balance_4[[#This Row],[Type]],operations[Month],'1'!$B$12)</f>
        <v>0</v>
      </c>
      <c r="N17" t="s">
        <v>64</v>
      </c>
    </row>
    <row r="18" spans="1:2">
      <c r="A18" t="s">
        <v>71</v>
      </c>
      <c r="B18" s="3">
        <f ca="1">SUBTOTAL(109,balance_4[Total])</f>
        <v>845.5</v>
      </c>
    </row>
  </sheetData>
  <pageMargins left="0.7" right="0.7" top="0.75" bottom="0.75" header="0.3" footer="0.3"/>
  <headerFooter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C2" sqref="C2"/>
    </sheetView>
  </sheetViews>
  <sheetFormatPr defaultColWidth="9" defaultRowHeight="14.4"/>
  <cols>
    <col min="2" max="2" width="18.3333333333333" customWidth="1"/>
    <col min="3" max="3" width="18" customWidth="1"/>
    <col min="4" max="4" width="12.1111111111111" customWidth="1"/>
    <col min="5" max="5" width="16.8888888888889" customWidth="1"/>
    <col min="7" max="7" width="15.1111111111111" customWidth="1"/>
    <col min="8" max="8" width="11.4444444444444" customWidth="1"/>
    <col min="10" max="10" width="15.1111111111111" customWidth="1"/>
    <col min="11" max="11" width="11.4444444444444" customWidth="1"/>
  </cols>
  <sheetData>
    <row r="1" spans="1:14">
      <c r="A1" t="s">
        <v>1</v>
      </c>
      <c r="B1" t="s">
        <v>37</v>
      </c>
      <c r="C1" t="s">
        <v>68</v>
      </c>
      <c r="D1" t="s">
        <v>69</v>
      </c>
      <c r="E1" t="s">
        <v>70</v>
      </c>
      <c r="G1" t="s">
        <v>35</v>
      </c>
      <c r="H1" s="2" t="s">
        <v>71</v>
      </c>
      <c r="J1" t="s">
        <v>35</v>
      </c>
      <c r="K1" t="s">
        <v>71</v>
      </c>
      <c r="N1" t="s">
        <v>36</v>
      </c>
    </row>
    <row r="2" spans="1:14">
      <c r="A2" t="s">
        <v>38</v>
      </c>
      <c r="B2" t="s">
        <v>43</v>
      </c>
      <c r="C2" s="3" t="e" cm="1">
        <f ca="1" t="array" ref="C2">INDIRECT("raport_"&amp;$B$12-1&amp;"[@[Closing balance ]]")</f>
        <v>#REF!</v>
      </c>
      <c r="D2" s="3">
        <f ca="1">SUMIFS(operations[Amount],operations[Bank],raports_6[[#This Row],[Bank]],operations[Product],raports_6[[#This Row],[Product]],operations[Month],$B$12)</f>
        <v>-50</v>
      </c>
      <c r="E2" s="3" t="e">
        <f ca="1">raports_6[[#This Row],[Opening balance]]+raports_6[[#This Row],[Operation]]</f>
        <v>#REF!</v>
      </c>
      <c r="G2" t="s">
        <v>41</v>
      </c>
      <c r="H2" s="2">
        <f ca="1">SUMIFS(operations[Amount],operations[Category],Expenses5[[#This Row],[Category]],operations[Month],'1'!$B$12)</f>
        <v>-2000</v>
      </c>
      <c r="J2" t="s">
        <v>54</v>
      </c>
      <c r="K2" s="3"/>
      <c r="N2" t="s">
        <v>42</v>
      </c>
    </row>
    <row r="3" spans="1:14">
      <c r="A3" t="s">
        <v>38</v>
      </c>
      <c r="B3" t="s">
        <v>46</v>
      </c>
      <c r="C3" s="3">
        <v>10.5</v>
      </c>
      <c r="D3" s="3">
        <f ca="1">SUMIFS(operations[Amount],operations[Bank],raports_6[[#This Row],[Bank]],operations[Product],raports_6[[#This Row],[Product]],operations[Month],$B$12)</f>
        <v>0</v>
      </c>
      <c r="E3" s="3">
        <f ca="1">raports_6[[#This Row],[Opening balance]]+raports_6[[#This Row],[Operation]]</f>
        <v>10.5</v>
      </c>
      <c r="G3" t="s">
        <v>45</v>
      </c>
      <c r="H3" s="2">
        <f ca="1">SUMIFS(operations[Amount],operations[Category],Expenses5[[#This Row],[Category]],operations[Month],'1'!$B$12)</f>
        <v>-80</v>
      </c>
      <c r="J3" t="s">
        <v>55</v>
      </c>
      <c r="K3" s="3">
        <f ca="1">SUMIFS(operations[Amount],operations[Category],Table9162832[[#This Row],[Category]],operations[Month],'1'!$B$12)</f>
        <v>-100</v>
      </c>
      <c r="N3" t="s">
        <v>42</v>
      </c>
    </row>
    <row r="4" spans="1:14">
      <c r="A4" t="s">
        <v>39</v>
      </c>
      <c r="B4" t="s">
        <v>43</v>
      </c>
      <c r="C4" s="3">
        <v>600</v>
      </c>
      <c r="D4" s="3">
        <f ca="1">SUMIFS(operations[Amount],operations[Bank],raports_6[[#This Row],[Bank]],operations[Product],raports_6[[#This Row],[Product]],operations[Month],$B$12)</f>
        <v>2328.61</v>
      </c>
      <c r="E4" s="3">
        <f ca="1">raports_6[[#This Row],[Opening balance]]+raports_6[[#This Row],[Operation]]</f>
        <v>2928.61</v>
      </c>
      <c r="G4" t="s">
        <v>49</v>
      </c>
      <c r="H4" s="2">
        <f ca="1">SUMIFS(operations[Amount],operations[Category],Expenses5[[#This Row],[Category]],operations[Month],'1'!$B$12)</f>
        <v>-85</v>
      </c>
      <c r="J4" t="s">
        <v>56</v>
      </c>
      <c r="K4" s="3">
        <f ca="1">SUMIFS(operations[Amount],operations[Category],Table9162832[[#This Row],[Category]],operations[Month],'1'!$B$12)</f>
        <v>-80</v>
      </c>
      <c r="N4" t="s">
        <v>42</v>
      </c>
    </row>
    <row r="5" spans="1:14">
      <c r="A5" t="s">
        <v>39</v>
      </c>
      <c r="B5" t="s">
        <v>47</v>
      </c>
      <c r="C5" s="3">
        <v>0</v>
      </c>
      <c r="D5" s="3">
        <f ca="1">SUMIFS(operations[Amount],operations[Bank],raports_6[[#This Row],[Bank]],operations[Product],raports_6[[#This Row],[Product]],operations[Month],$B$12)</f>
        <v>-908.61</v>
      </c>
      <c r="E5" s="3">
        <f ca="1">raports_6[[#This Row],[Opening balance]]+raports_6[[#This Row],[Operation]]</f>
        <v>-908.61</v>
      </c>
      <c r="G5" t="s">
        <v>51</v>
      </c>
      <c r="H5" s="2">
        <f ca="1">SUMIFS(operations[Amount],operations[Category],Expenses5[[#This Row],[Category]],operations[Month],'1'!$B$12)</f>
        <v>-1715</v>
      </c>
      <c r="J5" t="s">
        <v>57</v>
      </c>
      <c r="K5" s="3">
        <f ca="1">SUMIFS(operations[Amount],operations[Category],Table9162832[[#This Row],[Category]],operations[Month],'1'!$B$12)</f>
        <v>250</v>
      </c>
      <c r="N5" t="s">
        <v>42</v>
      </c>
    </row>
    <row r="6" spans="1:14">
      <c r="A6" t="s">
        <v>39</v>
      </c>
      <c r="B6" t="s">
        <v>50</v>
      </c>
      <c r="C6" s="3">
        <v>2000</v>
      </c>
      <c r="D6" s="3">
        <f ca="1">SUMIFS(operations[Amount],operations[Bank],raports_6[[#This Row],[Bank]],operations[Product],raports_6[[#This Row],[Product]],operations[Month],$B$12)</f>
        <v>0</v>
      </c>
      <c r="E6" s="3">
        <f ca="1">raports_6[[#This Row],[Opening balance]]+raports_6[[#This Row],[Operation]]</f>
        <v>2000</v>
      </c>
      <c r="G6" t="s">
        <v>52</v>
      </c>
      <c r="H6" s="2">
        <f ca="1">SUMIFS(operations[Amount],operations[Category],Expenses5[[#This Row],[Category]],operations[Month],'1'!$B$12)</f>
        <v>-100</v>
      </c>
      <c r="J6" t="s">
        <v>59</v>
      </c>
      <c r="K6" s="3">
        <f ca="1">SUMIFS(operations[Amount],operations[Category],Table9162832[[#This Row],[Category]],operations[Month],'1'!$B$12)</f>
        <v>105.5</v>
      </c>
      <c r="N6" t="s">
        <v>42</v>
      </c>
    </row>
    <row r="7" spans="1:14">
      <c r="A7" t="s">
        <v>40</v>
      </c>
      <c r="B7" t="s">
        <v>44</v>
      </c>
      <c r="C7" s="3">
        <v>200</v>
      </c>
      <c r="D7" s="3">
        <f ca="1">SUMIFS(operations[Amount],operations[Bank],raports_6[[#This Row],[Bank]],operations[Product],raports_6[[#This Row],[Product]],operations[Month],$B$12)</f>
        <v>0</v>
      </c>
      <c r="E7" s="3">
        <f ca="1">raports_6[[#This Row],[Opening balance]]+raports_6[[#This Row],[Operation]]</f>
        <v>200</v>
      </c>
      <c r="G7" t="s">
        <v>53</v>
      </c>
      <c r="H7" s="2">
        <f ca="1">SUMIFS(operations[Amount],operations[Category],Expenses5[[#This Row],[Category]],operations[Month],'1'!$B$12)</f>
        <v>-150</v>
      </c>
      <c r="J7" t="s">
        <v>60</v>
      </c>
      <c r="K7" s="3">
        <f ca="1">SUMIFS(operations[Amount],operations[Category],Table9162832[[#This Row],[Category]],operations[Month],'1'!$B$12)</f>
        <v>0</v>
      </c>
      <c r="N7" t="s">
        <v>42</v>
      </c>
    </row>
    <row r="8" spans="1:14">
      <c r="A8" t="s">
        <v>40</v>
      </c>
      <c r="B8" t="s">
        <v>48</v>
      </c>
      <c r="C8" s="3">
        <v>30</v>
      </c>
      <c r="D8" s="3">
        <f ca="1">SUMIFS(operations[Amount],operations[Bank],raports_6[[#This Row],[Bank]],operations[Product],raports_6[[#This Row],[Product]],operations[Month],$B$12)</f>
        <v>-80</v>
      </c>
      <c r="E8" s="3">
        <f ca="1">raports_6[[#This Row],[Opening balance]]+raports_6[[#This Row],[Operation]]</f>
        <v>-50</v>
      </c>
      <c r="G8" t="s">
        <v>71</v>
      </c>
      <c r="H8" s="3">
        <f ca="1">SUBTOTAL(109,Expenses5[Total])</f>
        <v>-4130</v>
      </c>
      <c r="J8" t="s">
        <v>61</v>
      </c>
      <c r="K8" s="3">
        <f ca="1">SUMIFS(operations[Amount],operations[Category],Table9162832[[#This Row],[Category]],operations[Month],'1'!$B$12)</f>
        <v>800</v>
      </c>
      <c r="N8" t="s">
        <v>42</v>
      </c>
    </row>
    <row r="9" spans="1:14">
      <c r="A9" s="3" t="s">
        <v>71</v>
      </c>
      <c r="B9" s="3"/>
      <c r="C9" s="3" t="e">
        <f ca="1">SUBTOTAL(109,raports_6[Opening balance])</f>
        <v>#REF!</v>
      </c>
      <c r="D9" s="3">
        <f ca="1">SUBTOTAL(109,raports_6[Operation])</f>
        <v>1290</v>
      </c>
      <c r="E9" s="3" t="e">
        <f ca="1">SUBTOTAL(109,raports_6[Closing balance])</f>
        <v>#REF!</v>
      </c>
      <c r="J9" t="s">
        <v>62</v>
      </c>
      <c r="K9" s="3">
        <f ca="1">SUMIFS(operations[Amount],operations[Category],Table9162832[[#This Row],[Category]],operations[Month],'1'!$B$12)</f>
        <v>4500</v>
      </c>
      <c r="N9" t="s">
        <v>42</v>
      </c>
    </row>
    <row r="10" spans="10:14">
      <c r="J10" t="s">
        <v>63</v>
      </c>
      <c r="K10" s="3">
        <f ca="1">SUMIFS(operations[Amount],operations[Category],Table9162832[[#This Row],[Category]],operations[Month],'1'!$B$12)</f>
        <v>0</v>
      </c>
      <c r="N10" t="s">
        <v>42</v>
      </c>
    </row>
    <row r="11" spans="10:14">
      <c r="J11" t="s">
        <v>64</v>
      </c>
      <c r="K11" s="3">
        <f ca="1">SUMIFS(operations[Amount],operations[Category],Table9162832[[#This Row],[Category]],operations[Month],'1'!$B$12)</f>
        <v>0</v>
      </c>
      <c r="N11" t="s">
        <v>58</v>
      </c>
    </row>
    <row r="12" spans="1:14">
      <c r="A12" t="s">
        <v>67</v>
      </c>
      <c r="B12" t="str" cm="1">
        <f ca="1" t="array" ref="B12">_xlfn.TEXTAFTER(CELL("filename",A1),"]")</f>
        <v>5</v>
      </c>
      <c r="J12" t="s">
        <v>71</v>
      </c>
      <c r="K12" s="3">
        <f ca="1">SUBTOTAL(109,Table9162832[Total])</f>
        <v>5475.5</v>
      </c>
      <c r="N12" t="s">
        <v>58</v>
      </c>
    </row>
    <row r="13" spans="7:14">
      <c r="G13" t="s">
        <v>72</v>
      </c>
      <c r="N13" t="s">
        <v>58</v>
      </c>
    </row>
    <row r="14" spans="1:14">
      <c r="A14" t="s">
        <v>36</v>
      </c>
      <c r="B14" t="s">
        <v>71</v>
      </c>
      <c r="N14" t="s">
        <v>58</v>
      </c>
    </row>
    <row r="15" spans="1:14">
      <c r="A15" t="s">
        <v>58</v>
      </c>
      <c r="B15" s="3">
        <f ca="1">SUMIFS(operations[Amount],operations[Type],balance_5[[#This Row],[Type]],operations[Month],'1'!$B$12)</f>
        <v>5655.5</v>
      </c>
      <c r="N15" t="s">
        <v>58</v>
      </c>
    </row>
    <row r="16" spans="1:14">
      <c r="A16" t="s">
        <v>42</v>
      </c>
      <c r="B16" s="3">
        <f ca="1">SUMIFS(operations[Amount],operations[Type],balance_5[[#This Row],[Type]],operations[Month],'1'!$B$12)</f>
        <v>-4810</v>
      </c>
      <c r="N16" t="s">
        <v>58</v>
      </c>
    </row>
    <row r="17" spans="1:14">
      <c r="A17" t="s">
        <v>64</v>
      </c>
      <c r="B17" s="3">
        <f ca="1">SUMIFS(operations[Amount],operations[Type],balance_5[[#This Row],[Type]],operations[Month],'1'!$B$12)</f>
        <v>0</v>
      </c>
      <c r="N17" t="s">
        <v>64</v>
      </c>
    </row>
    <row r="18" spans="1:2">
      <c r="A18" t="s">
        <v>71</v>
      </c>
      <c r="B18" s="3">
        <f ca="1">SUBTOTAL(109,balance_5[Total])</f>
        <v>845.5</v>
      </c>
    </row>
  </sheetData>
  <pageMargins left="0.7" right="0.7" top="0.75" bottom="0.75" header="0.3" footer="0.3"/>
  <headerFooter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C2" sqref="C2"/>
    </sheetView>
  </sheetViews>
  <sheetFormatPr defaultColWidth="9" defaultRowHeight="14.4"/>
  <cols>
    <col min="2" max="2" width="18.3333333333333" customWidth="1"/>
    <col min="3" max="3" width="18" customWidth="1"/>
    <col min="4" max="4" width="12.1111111111111" customWidth="1"/>
    <col min="5" max="5" width="16.8888888888889" customWidth="1"/>
    <col min="7" max="7" width="15.1111111111111" customWidth="1"/>
    <col min="8" max="8" width="11.4444444444444" customWidth="1"/>
    <col min="10" max="10" width="15.1111111111111" customWidth="1"/>
    <col min="11" max="11" width="11.4444444444444" customWidth="1"/>
  </cols>
  <sheetData>
    <row r="1" spans="1:14">
      <c r="A1" t="s">
        <v>1</v>
      </c>
      <c r="B1" t="s">
        <v>37</v>
      </c>
      <c r="C1" t="s">
        <v>68</v>
      </c>
      <c r="D1" t="s">
        <v>69</v>
      </c>
      <c r="E1" t="s">
        <v>70</v>
      </c>
      <c r="G1" t="s">
        <v>35</v>
      </c>
      <c r="H1" s="2" t="s">
        <v>71</v>
      </c>
      <c r="J1" t="s">
        <v>35</v>
      </c>
      <c r="K1" t="s">
        <v>71</v>
      </c>
      <c r="N1" t="s">
        <v>36</v>
      </c>
    </row>
    <row r="2" spans="1:14">
      <c r="A2" t="s">
        <v>38</v>
      </c>
      <c r="B2" t="s">
        <v>43</v>
      </c>
      <c r="C2" s="3" t="e" cm="1">
        <f ca="1" t="array" ref="C2">INDIRECT("raport_"&amp;$B$12-1&amp;"[@[Closing balance ]]")</f>
        <v>#REF!</v>
      </c>
      <c r="D2" s="3">
        <f ca="1">SUMIFS(operations[Amount],operations[Bank],raports_5[[#This Row],[Bank]],operations[Product],raports_5[[#This Row],[Product]],operations[Month],$B$12)</f>
        <v>250</v>
      </c>
      <c r="E2" s="3" t="e">
        <f ca="1">raports_5[[#This Row],[Opening balance]]+raports_5[[#This Row],[Operation]]</f>
        <v>#REF!</v>
      </c>
      <c r="G2" t="s">
        <v>41</v>
      </c>
      <c r="H2" s="2">
        <f ca="1">SUMIFS(operations[Amount],operations[Category],Expenses6[[#This Row],[Category]],operations[Month],'1'!$B$12)</f>
        <v>-2000</v>
      </c>
      <c r="J2" t="s">
        <v>54</v>
      </c>
      <c r="K2" s="3"/>
      <c r="N2" t="s">
        <v>42</v>
      </c>
    </row>
    <row r="3" spans="1:14">
      <c r="A3" t="s">
        <v>38</v>
      </c>
      <c r="B3" t="s">
        <v>46</v>
      </c>
      <c r="C3" s="3">
        <v>10.5</v>
      </c>
      <c r="D3" s="3">
        <f ca="1">SUMIFS(operations[Amount],operations[Bank],raports_5[[#This Row],[Bank]],operations[Product],raports_5[[#This Row],[Product]],operations[Month],$B$12)</f>
        <v>0</v>
      </c>
      <c r="E3" s="3">
        <f ca="1">raports_5[[#This Row],[Opening balance]]+raports_5[[#This Row],[Operation]]</f>
        <v>10.5</v>
      </c>
      <c r="G3" t="s">
        <v>45</v>
      </c>
      <c r="H3" s="2">
        <f ca="1">SUMIFS(operations[Amount],operations[Category],Expenses6[[#This Row],[Category]],operations[Month],'1'!$B$12)</f>
        <v>-80</v>
      </c>
      <c r="J3" t="s">
        <v>55</v>
      </c>
      <c r="K3" s="3">
        <f ca="1">SUMIFS(operations[Amount],operations[Category],Table916283236[[#This Row],[Category]],operations[Month],'1'!$B$12)</f>
        <v>-100</v>
      </c>
      <c r="N3" t="s">
        <v>42</v>
      </c>
    </row>
    <row r="4" spans="1:14">
      <c r="A4" t="s">
        <v>39</v>
      </c>
      <c r="B4" t="s">
        <v>43</v>
      </c>
      <c r="C4" s="3">
        <v>600</v>
      </c>
      <c r="D4" s="3">
        <f ca="1">SUMIFS(operations[Amount],operations[Bank],raports_5[[#This Row],[Bank]],operations[Product],raports_5[[#This Row],[Product]],operations[Month],$B$12)</f>
        <v>1420</v>
      </c>
      <c r="E4" s="3">
        <f ca="1">raports_5[[#This Row],[Opening balance]]+raports_5[[#This Row],[Operation]]</f>
        <v>2020</v>
      </c>
      <c r="G4" t="s">
        <v>49</v>
      </c>
      <c r="H4" s="2">
        <f ca="1">SUMIFS(operations[Amount],operations[Category],Expenses6[[#This Row],[Category]],operations[Month],'1'!$B$12)</f>
        <v>-85</v>
      </c>
      <c r="J4" t="s">
        <v>56</v>
      </c>
      <c r="K4" s="3">
        <f ca="1">SUMIFS(operations[Amount],operations[Category],Table916283236[[#This Row],[Category]],operations[Month],'1'!$B$12)</f>
        <v>-80</v>
      </c>
      <c r="N4" t="s">
        <v>42</v>
      </c>
    </row>
    <row r="5" spans="1:14">
      <c r="A5" t="s">
        <v>39</v>
      </c>
      <c r="B5" t="s">
        <v>47</v>
      </c>
      <c r="C5" s="3">
        <v>0</v>
      </c>
      <c r="D5" s="3">
        <f ca="1">SUMIFS(operations[Amount],operations[Bank],raports_5[[#This Row],[Bank]],operations[Product],raports_5[[#This Row],[Product]],operations[Month],$B$12)</f>
        <v>-300</v>
      </c>
      <c r="E5" s="3">
        <f ca="1">raports_5[[#This Row],[Opening balance]]+raports_5[[#This Row],[Operation]]</f>
        <v>-300</v>
      </c>
      <c r="G5" t="s">
        <v>51</v>
      </c>
      <c r="H5" s="2">
        <f ca="1">SUMIFS(operations[Amount],operations[Category],Expenses6[[#This Row],[Category]],operations[Month],'1'!$B$12)</f>
        <v>-1715</v>
      </c>
      <c r="J5" t="s">
        <v>57</v>
      </c>
      <c r="K5" s="3">
        <f ca="1">SUMIFS(operations[Amount],operations[Category],Table916283236[[#This Row],[Category]],operations[Month],'1'!$B$12)</f>
        <v>250</v>
      </c>
      <c r="N5" t="s">
        <v>42</v>
      </c>
    </row>
    <row r="6" spans="1:14">
      <c r="A6" t="s">
        <v>39</v>
      </c>
      <c r="B6" t="s">
        <v>50</v>
      </c>
      <c r="C6" s="3">
        <v>2000</v>
      </c>
      <c r="D6" s="3">
        <f ca="1">SUMIFS(operations[Amount],operations[Bank],raports_5[[#This Row],[Bank]],operations[Product],raports_5[[#This Row],[Product]],operations[Month],$B$12)</f>
        <v>0</v>
      </c>
      <c r="E6" s="3">
        <f ca="1">raports_5[[#This Row],[Opening balance]]+raports_5[[#This Row],[Operation]]</f>
        <v>2000</v>
      </c>
      <c r="G6" t="s">
        <v>52</v>
      </c>
      <c r="H6" s="2">
        <f ca="1">SUMIFS(operations[Amount],operations[Category],Expenses6[[#This Row],[Category]],operations[Month],'1'!$B$12)</f>
        <v>-100</v>
      </c>
      <c r="J6" t="s">
        <v>59</v>
      </c>
      <c r="K6" s="3">
        <f ca="1">SUMIFS(operations[Amount],operations[Category],Table916283236[[#This Row],[Category]],operations[Month],'1'!$B$12)</f>
        <v>105.5</v>
      </c>
      <c r="N6" t="s">
        <v>42</v>
      </c>
    </row>
    <row r="7" spans="1:14">
      <c r="A7" t="s">
        <v>40</v>
      </c>
      <c r="B7" t="s">
        <v>44</v>
      </c>
      <c r="C7" s="3">
        <v>200</v>
      </c>
      <c r="D7" s="3">
        <f ca="1">SUMIFS(operations[Amount],operations[Bank],raports_5[[#This Row],[Bank]],operations[Product],raports_5[[#This Row],[Product]],operations[Month],$B$12)</f>
        <v>0</v>
      </c>
      <c r="E7" s="3">
        <f ca="1">raports_5[[#This Row],[Opening balance]]+raports_5[[#This Row],[Operation]]</f>
        <v>200</v>
      </c>
      <c r="G7" t="s">
        <v>53</v>
      </c>
      <c r="H7" s="2">
        <f ca="1">SUMIFS(operations[Amount],operations[Category],Expenses6[[#This Row],[Category]],operations[Month],'1'!$B$12)</f>
        <v>-150</v>
      </c>
      <c r="J7" t="s">
        <v>60</v>
      </c>
      <c r="K7" s="3">
        <f ca="1">SUMIFS(operations[Amount],operations[Category],Table916283236[[#This Row],[Category]],operations[Month],'1'!$B$12)</f>
        <v>0</v>
      </c>
      <c r="N7" t="s">
        <v>42</v>
      </c>
    </row>
    <row r="8" spans="1:14">
      <c r="A8" t="s">
        <v>40</v>
      </c>
      <c r="B8" t="s">
        <v>48</v>
      </c>
      <c r="C8" s="3">
        <v>30</v>
      </c>
      <c r="D8" s="3">
        <f ca="1">SUMIFS(operations[Amount],operations[Bank],raports_5[[#This Row],[Bank]],operations[Product],raports_5[[#This Row],[Product]],operations[Month],$B$12)</f>
        <v>-200</v>
      </c>
      <c r="E8" s="3">
        <f ca="1">raports_5[[#This Row],[Opening balance]]+raports_5[[#This Row],[Operation]]</f>
        <v>-170</v>
      </c>
      <c r="G8" t="s">
        <v>71</v>
      </c>
      <c r="H8" s="3">
        <f ca="1">SUBTOTAL(109,Expenses6[Total])</f>
        <v>-4130</v>
      </c>
      <c r="J8" t="s">
        <v>61</v>
      </c>
      <c r="K8" s="3">
        <f ca="1">SUMIFS(operations[Amount],operations[Category],Table916283236[[#This Row],[Category]],operations[Month],'1'!$B$12)</f>
        <v>800</v>
      </c>
      <c r="N8" t="s">
        <v>42</v>
      </c>
    </row>
    <row r="9" spans="1:14">
      <c r="A9" s="3" t="s">
        <v>71</v>
      </c>
      <c r="B9" s="3"/>
      <c r="C9" s="3" t="e">
        <f ca="1">SUBTOTAL(109,raports_5[Opening balance])</f>
        <v>#REF!</v>
      </c>
      <c r="D9" s="3">
        <f ca="1">SUBTOTAL(109,raports_5[Operation])</f>
        <v>1170</v>
      </c>
      <c r="E9" s="3" t="e">
        <f ca="1">SUBTOTAL(109,raports_5[Closing balance])</f>
        <v>#REF!</v>
      </c>
      <c r="J9" t="s">
        <v>62</v>
      </c>
      <c r="K9" s="3">
        <f ca="1">SUMIFS(operations[Amount],operations[Category],Table916283236[[#This Row],[Category]],operations[Month],'1'!$B$12)</f>
        <v>4500</v>
      </c>
      <c r="N9" t="s">
        <v>42</v>
      </c>
    </row>
    <row r="10" spans="10:14">
      <c r="J10" t="s">
        <v>63</v>
      </c>
      <c r="K10" s="3">
        <f ca="1">SUMIFS(operations[Amount],operations[Category],Table916283236[[#This Row],[Category]],operations[Month],'1'!$B$12)</f>
        <v>0</v>
      </c>
      <c r="N10" t="s">
        <v>42</v>
      </c>
    </row>
    <row r="11" spans="10:14">
      <c r="J11" t="s">
        <v>64</v>
      </c>
      <c r="K11" s="3">
        <f ca="1">SUMIFS(operations[Amount],operations[Category],Table916283236[[#This Row],[Category]],operations[Month],'1'!$B$12)</f>
        <v>0</v>
      </c>
      <c r="N11" t="s">
        <v>58</v>
      </c>
    </row>
    <row r="12" spans="1:14">
      <c r="A12" t="s">
        <v>67</v>
      </c>
      <c r="B12" t="str" cm="1">
        <f ca="1" t="array" ref="B12">_xlfn.TEXTAFTER(CELL("filename",A1),"]")</f>
        <v>6</v>
      </c>
      <c r="J12" t="s">
        <v>71</v>
      </c>
      <c r="K12" s="3">
        <f ca="1">SUBTOTAL(109,Table916283236[Total])</f>
        <v>5475.5</v>
      </c>
      <c r="N12" t="s">
        <v>58</v>
      </c>
    </row>
    <row r="13" spans="7:14">
      <c r="G13" t="s">
        <v>72</v>
      </c>
      <c r="N13" t="s">
        <v>58</v>
      </c>
    </row>
    <row r="14" spans="1:14">
      <c r="A14" t="s">
        <v>36</v>
      </c>
      <c r="B14" t="s">
        <v>71</v>
      </c>
      <c r="N14" t="s">
        <v>58</v>
      </c>
    </row>
    <row r="15" spans="1:14">
      <c r="A15" t="s">
        <v>58</v>
      </c>
      <c r="B15" s="3">
        <f ca="1">SUMIFS(operations[Amount],operations[Type],balance_6[[#This Row],[Type]],operations[Month],'1'!$B$12)</f>
        <v>5655.5</v>
      </c>
      <c r="N15" t="s">
        <v>58</v>
      </c>
    </row>
    <row r="16" spans="1:14">
      <c r="A16" t="s">
        <v>42</v>
      </c>
      <c r="B16" s="3">
        <f ca="1">SUMIFS(operations[Amount],operations[Type],balance_6[[#This Row],[Type]],operations[Month],'1'!$B$12)</f>
        <v>-4810</v>
      </c>
      <c r="N16" t="s">
        <v>58</v>
      </c>
    </row>
    <row r="17" spans="1:14">
      <c r="A17" t="s">
        <v>64</v>
      </c>
      <c r="B17" s="3">
        <f ca="1">SUMIFS(operations[Amount],operations[Type],balance_6[[#This Row],[Type]],operations[Month],'1'!$B$12)</f>
        <v>0</v>
      </c>
      <c r="N17" t="s">
        <v>64</v>
      </c>
    </row>
    <row r="18" spans="1:2">
      <c r="A18" t="s">
        <v>71</v>
      </c>
      <c r="B18" s="3">
        <f ca="1">SUBTOTAL(109,balance_6[Total])</f>
        <v>845.5</v>
      </c>
    </row>
  </sheetData>
  <pageMargins left="0.7" right="0.7" top="0.75" bottom="0.75" header="0.3" footer="0.3"/>
  <headerFooter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C2" sqref="C2"/>
    </sheetView>
  </sheetViews>
  <sheetFormatPr defaultColWidth="9" defaultRowHeight="14.4"/>
  <cols>
    <col min="2" max="2" width="18.3333333333333" customWidth="1"/>
    <col min="3" max="3" width="18" customWidth="1"/>
    <col min="4" max="4" width="12.1111111111111" customWidth="1"/>
    <col min="5" max="5" width="16.8888888888889" customWidth="1"/>
    <col min="7" max="7" width="15.1111111111111" customWidth="1"/>
    <col min="8" max="8" width="11.4444444444444" customWidth="1"/>
    <col min="10" max="10" width="15.1111111111111" customWidth="1"/>
    <col min="11" max="11" width="11.4444444444444" customWidth="1"/>
  </cols>
  <sheetData>
    <row r="1" spans="1:14">
      <c r="A1" t="s">
        <v>1</v>
      </c>
      <c r="B1" t="s">
        <v>37</v>
      </c>
      <c r="C1" t="s">
        <v>68</v>
      </c>
      <c r="D1" t="s">
        <v>69</v>
      </c>
      <c r="E1" t="s">
        <v>70</v>
      </c>
      <c r="G1" t="s">
        <v>35</v>
      </c>
      <c r="H1" s="2" t="s">
        <v>71</v>
      </c>
      <c r="J1" t="s">
        <v>35</v>
      </c>
      <c r="K1" t="s">
        <v>71</v>
      </c>
      <c r="N1" t="s">
        <v>36</v>
      </c>
    </row>
    <row r="2" spans="1:14">
      <c r="A2" t="s">
        <v>38</v>
      </c>
      <c r="B2" t="s">
        <v>43</v>
      </c>
      <c r="C2" s="3" t="e" cm="1">
        <f ca="1" t="array" ref="C2">INDIRECT("raport_"&amp;$B$12-1&amp;"[@[Closing balance ]]")</f>
        <v>#REF!</v>
      </c>
      <c r="D2" s="3">
        <f ca="1">SUMIFS(operations[Amount],operations[Bank],raports_7[[#This Row],[Bank]],operations[Product],raports_7[[#This Row],[Product]],operations[Month],$B$12)</f>
        <v>-100</v>
      </c>
      <c r="E2" s="3" t="e">
        <f ca="1">raports_7[[#This Row],[Opening balance]]+raports_7[[#This Row],[Operation]]</f>
        <v>#REF!</v>
      </c>
      <c r="G2" t="s">
        <v>41</v>
      </c>
      <c r="H2" s="2">
        <f ca="1">SUMIFS(operations[Amount],operations[Category],Expenses7[[#This Row],[Category]],operations[Month],'1'!$B$12)</f>
        <v>-2000</v>
      </c>
      <c r="J2" t="s">
        <v>54</v>
      </c>
      <c r="K2" s="3"/>
      <c r="N2" t="s">
        <v>42</v>
      </c>
    </row>
    <row r="3" spans="1:14">
      <c r="A3" t="s">
        <v>38</v>
      </c>
      <c r="B3" t="s">
        <v>46</v>
      </c>
      <c r="C3" s="3">
        <v>10.5</v>
      </c>
      <c r="D3" s="3">
        <f ca="1">SUMIFS(operations[Amount],operations[Bank],raports_7[[#This Row],[Bank]],operations[Product],raports_7[[#This Row],[Product]],operations[Month],$B$12)</f>
        <v>1050</v>
      </c>
      <c r="E3" s="3">
        <f ca="1">raports_7[[#This Row],[Opening balance]]+raports_7[[#This Row],[Operation]]</f>
        <v>1060.5</v>
      </c>
      <c r="G3" t="s">
        <v>45</v>
      </c>
      <c r="H3" s="2">
        <f ca="1">SUMIFS(operations[Amount],operations[Category],Expenses7[[#This Row],[Category]],operations[Month],'1'!$B$12)</f>
        <v>-80</v>
      </c>
      <c r="J3" t="s">
        <v>55</v>
      </c>
      <c r="K3" s="3">
        <f ca="1">SUMIFS(operations[Amount],operations[Category],Table91628323640[[#This Row],[Category]],operations[Month],'1'!$B$12)</f>
        <v>-100</v>
      </c>
      <c r="N3" t="s">
        <v>42</v>
      </c>
    </row>
    <row r="4" spans="1:14">
      <c r="A4" t="s">
        <v>39</v>
      </c>
      <c r="B4" t="s">
        <v>43</v>
      </c>
      <c r="C4" s="3">
        <v>600</v>
      </c>
      <c r="D4" s="3">
        <f ca="1">SUMIFS(operations[Amount],operations[Bank],raports_7[[#This Row],[Bank]],operations[Product],raports_7[[#This Row],[Product]],operations[Month],$B$12)</f>
        <v>1010</v>
      </c>
      <c r="E4" s="3">
        <f ca="1">raports_7[[#This Row],[Opening balance]]+raports_7[[#This Row],[Operation]]</f>
        <v>1610</v>
      </c>
      <c r="G4" t="s">
        <v>49</v>
      </c>
      <c r="H4" s="2">
        <f ca="1">SUMIFS(operations[Amount],operations[Category],Expenses7[[#This Row],[Category]],operations[Month],'1'!$B$12)</f>
        <v>-85</v>
      </c>
      <c r="J4" t="s">
        <v>56</v>
      </c>
      <c r="K4" s="3">
        <f ca="1">SUMIFS(operations[Amount],operations[Category],Table91628323640[[#This Row],[Category]],operations[Month],'1'!$B$12)</f>
        <v>-80</v>
      </c>
      <c r="N4" t="s">
        <v>42</v>
      </c>
    </row>
    <row r="5" spans="1:14">
      <c r="A5" t="s">
        <v>39</v>
      </c>
      <c r="B5" t="s">
        <v>47</v>
      </c>
      <c r="C5" s="3">
        <v>0</v>
      </c>
      <c r="D5" s="3">
        <f ca="1">SUMIFS(operations[Amount],operations[Bank],raports_7[[#This Row],[Bank]],operations[Product],raports_7[[#This Row],[Product]],operations[Month],$B$12)</f>
        <v>1165</v>
      </c>
      <c r="E5" s="3">
        <f ca="1">raports_7[[#This Row],[Opening balance]]+raports_7[[#This Row],[Operation]]</f>
        <v>1165</v>
      </c>
      <c r="G5" t="s">
        <v>51</v>
      </c>
      <c r="H5" s="2">
        <f ca="1">SUMIFS(operations[Amount],operations[Category],Expenses7[[#This Row],[Category]],operations[Month],'1'!$B$12)</f>
        <v>-1715</v>
      </c>
      <c r="J5" t="s">
        <v>57</v>
      </c>
      <c r="K5" s="3">
        <f ca="1">SUMIFS(operations[Amount],operations[Category],Table91628323640[[#This Row],[Category]],operations[Month],'1'!$B$12)</f>
        <v>250</v>
      </c>
      <c r="N5" t="s">
        <v>42</v>
      </c>
    </row>
    <row r="6" spans="1:14">
      <c r="A6" t="s">
        <v>39</v>
      </c>
      <c r="B6" t="s">
        <v>50</v>
      </c>
      <c r="C6" s="3">
        <v>2000</v>
      </c>
      <c r="D6" s="3">
        <f ca="1">SUMIFS(operations[Amount],operations[Bank],raports_7[[#This Row],[Bank]],operations[Product],raports_7[[#This Row],[Product]],operations[Month],$B$12)</f>
        <v>-180</v>
      </c>
      <c r="E6" s="3">
        <f ca="1">raports_7[[#This Row],[Opening balance]]+raports_7[[#This Row],[Operation]]</f>
        <v>1820</v>
      </c>
      <c r="G6" t="s">
        <v>52</v>
      </c>
      <c r="H6" s="2">
        <f ca="1">SUMIFS(operations[Amount],operations[Category],Expenses7[[#This Row],[Category]],operations[Month],'1'!$B$12)</f>
        <v>-100</v>
      </c>
      <c r="J6" t="s">
        <v>59</v>
      </c>
      <c r="K6" s="3">
        <f ca="1">SUMIFS(operations[Amount],operations[Category],Table91628323640[[#This Row],[Category]],operations[Month],'1'!$B$12)</f>
        <v>105.5</v>
      </c>
      <c r="N6" t="s">
        <v>42</v>
      </c>
    </row>
    <row r="7" spans="1:14">
      <c r="A7" t="s">
        <v>40</v>
      </c>
      <c r="B7" t="s">
        <v>44</v>
      </c>
      <c r="C7" s="3">
        <v>200</v>
      </c>
      <c r="D7" s="3">
        <f ca="1">SUMIFS(operations[Amount],operations[Bank],raports_7[[#This Row],[Bank]],operations[Product],raports_7[[#This Row],[Product]],operations[Month],$B$12)</f>
        <v>-30</v>
      </c>
      <c r="E7" s="3">
        <f ca="1">raports_7[[#This Row],[Opening balance]]+raports_7[[#This Row],[Operation]]</f>
        <v>170</v>
      </c>
      <c r="G7" t="s">
        <v>53</v>
      </c>
      <c r="H7" s="2">
        <f ca="1">SUMIFS(operations[Amount],operations[Category],Expenses7[[#This Row],[Category]],operations[Month],'1'!$B$12)</f>
        <v>-150</v>
      </c>
      <c r="J7" t="s">
        <v>60</v>
      </c>
      <c r="K7" s="3">
        <f ca="1">SUMIFS(operations[Amount],operations[Category],Table91628323640[[#This Row],[Category]],operations[Month],'1'!$B$12)</f>
        <v>0</v>
      </c>
      <c r="N7" t="s">
        <v>42</v>
      </c>
    </row>
    <row r="8" spans="1:14">
      <c r="A8" t="s">
        <v>40</v>
      </c>
      <c r="B8" t="s">
        <v>48</v>
      </c>
      <c r="C8" s="3">
        <v>30</v>
      </c>
      <c r="D8" s="3">
        <f ca="1">SUMIFS(operations[Amount],operations[Bank],raports_7[[#This Row],[Bank]],operations[Product],raports_7[[#This Row],[Product]],operations[Month],$B$12)</f>
        <v>0</v>
      </c>
      <c r="E8" s="3">
        <f ca="1">raports_7[[#This Row],[Opening balance]]+raports_7[[#This Row],[Operation]]</f>
        <v>30</v>
      </c>
      <c r="G8" t="s">
        <v>71</v>
      </c>
      <c r="H8" s="3">
        <f ca="1">SUBTOTAL(109,Expenses7[Total])</f>
        <v>-4130</v>
      </c>
      <c r="J8" t="s">
        <v>61</v>
      </c>
      <c r="K8" s="3">
        <f ca="1">SUMIFS(operations[Amount],operations[Category],Table91628323640[[#This Row],[Category]],operations[Month],'1'!$B$12)</f>
        <v>800</v>
      </c>
      <c r="N8" t="s">
        <v>42</v>
      </c>
    </row>
    <row r="9" spans="1:14">
      <c r="A9" s="3" t="s">
        <v>71</v>
      </c>
      <c r="B9" s="3"/>
      <c r="C9" s="3" t="e">
        <f ca="1">SUBTOTAL(109,raports_7[Opening balance])</f>
        <v>#REF!</v>
      </c>
      <c r="D9" s="3">
        <f ca="1">SUBTOTAL(109,raports_7[Operation])</f>
        <v>2915</v>
      </c>
      <c r="E9" s="3" t="e">
        <f ca="1">SUBTOTAL(109,raports_7[Closing balance])</f>
        <v>#REF!</v>
      </c>
      <c r="J9" t="s">
        <v>62</v>
      </c>
      <c r="K9" s="3">
        <f ca="1">SUMIFS(operations[Amount],operations[Category],Table91628323640[[#This Row],[Category]],operations[Month],'1'!$B$12)</f>
        <v>4500</v>
      </c>
      <c r="N9" t="s">
        <v>42</v>
      </c>
    </row>
    <row r="10" spans="10:14">
      <c r="J10" t="s">
        <v>63</v>
      </c>
      <c r="K10" s="3">
        <f ca="1">SUMIFS(operations[Amount],operations[Category],Table91628323640[[#This Row],[Category]],operations[Month],'1'!$B$12)</f>
        <v>0</v>
      </c>
      <c r="N10" t="s">
        <v>42</v>
      </c>
    </row>
    <row r="11" spans="10:14">
      <c r="J11" t="s">
        <v>64</v>
      </c>
      <c r="K11" s="3">
        <f ca="1">SUMIFS(operations[Amount],operations[Category],Table91628323640[[#This Row],[Category]],operations[Month],'1'!$B$12)</f>
        <v>0</v>
      </c>
      <c r="N11" t="s">
        <v>58</v>
      </c>
    </row>
    <row r="12" spans="1:14">
      <c r="A12" t="s">
        <v>67</v>
      </c>
      <c r="B12" t="str" cm="1">
        <f ca="1" t="array" ref="B12">_xlfn.TEXTAFTER(CELL("filename",A1),"]")</f>
        <v>7</v>
      </c>
      <c r="J12" t="s">
        <v>71</v>
      </c>
      <c r="K12" s="3">
        <f ca="1">SUBTOTAL(109,Table91628323640[Total])</f>
        <v>5475.5</v>
      </c>
      <c r="N12" t="s">
        <v>58</v>
      </c>
    </row>
    <row r="13" spans="7:14">
      <c r="G13" t="s">
        <v>72</v>
      </c>
      <c r="N13" t="s">
        <v>58</v>
      </c>
    </row>
    <row r="14" spans="1:14">
      <c r="A14" t="s">
        <v>36</v>
      </c>
      <c r="B14" t="s">
        <v>71</v>
      </c>
      <c r="N14" t="s">
        <v>58</v>
      </c>
    </row>
    <row r="15" spans="1:14">
      <c r="A15" t="s">
        <v>58</v>
      </c>
      <c r="B15" s="3">
        <f ca="1">SUMIFS(operations[Amount],operations[Type],balance_7[[#This Row],[Type]],operations[Month],'1'!$B$12)</f>
        <v>5655.5</v>
      </c>
      <c r="N15" t="s">
        <v>58</v>
      </c>
    </row>
    <row r="16" spans="1:14">
      <c r="A16" t="s">
        <v>42</v>
      </c>
      <c r="B16" s="3">
        <f ca="1">SUMIFS(operations[Amount],operations[Type],balance_7[[#This Row],[Type]],operations[Month],'1'!$B$12)</f>
        <v>-4810</v>
      </c>
      <c r="N16" t="s">
        <v>58</v>
      </c>
    </row>
    <row r="17" spans="1:14">
      <c r="A17" t="s">
        <v>64</v>
      </c>
      <c r="B17" s="3">
        <f ca="1">SUMIFS(operations[Amount],operations[Type],balance_7[[#This Row],[Type]],operations[Month],'1'!$B$12)</f>
        <v>0</v>
      </c>
      <c r="N17" t="s">
        <v>64</v>
      </c>
    </row>
    <row r="18" spans="1:2">
      <c r="A18" t="s">
        <v>71</v>
      </c>
      <c r="B18" s="3">
        <f ca="1">SUBTOTAL(109,balance_7[Total])</f>
        <v>845.5</v>
      </c>
    </row>
  </sheetData>
  <pageMargins left="0.7" right="0.7" top="0.75" bottom="0.75" header="0.3" footer="0.3"/>
  <headerFooter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C2" sqref="C2"/>
    </sheetView>
  </sheetViews>
  <sheetFormatPr defaultColWidth="9" defaultRowHeight="14.4"/>
  <cols>
    <col min="2" max="2" width="18.3333333333333" customWidth="1"/>
    <col min="3" max="3" width="18" customWidth="1"/>
    <col min="4" max="4" width="12.1111111111111" customWidth="1"/>
    <col min="5" max="5" width="16.8888888888889" customWidth="1"/>
    <col min="7" max="7" width="15.1111111111111" customWidth="1"/>
    <col min="8" max="8" width="11.4444444444444" customWidth="1"/>
    <col min="10" max="10" width="15.1111111111111" customWidth="1"/>
    <col min="11" max="11" width="11.4444444444444" customWidth="1"/>
  </cols>
  <sheetData>
    <row r="1" spans="1:14">
      <c r="A1" t="s">
        <v>1</v>
      </c>
      <c r="B1" t="s">
        <v>37</v>
      </c>
      <c r="C1" t="s">
        <v>68</v>
      </c>
      <c r="D1" t="s">
        <v>69</v>
      </c>
      <c r="E1" t="s">
        <v>70</v>
      </c>
      <c r="G1" t="s">
        <v>35</v>
      </c>
      <c r="H1" s="2" t="s">
        <v>71</v>
      </c>
      <c r="J1" t="s">
        <v>35</v>
      </c>
      <c r="K1" t="s">
        <v>71</v>
      </c>
      <c r="N1" t="s">
        <v>36</v>
      </c>
    </row>
    <row r="2" spans="1:14">
      <c r="A2" t="s">
        <v>38</v>
      </c>
      <c r="B2" t="s">
        <v>43</v>
      </c>
      <c r="C2" s="3" t="e" cm="1">
        <f ca="1" t="array" ref="C2">INDIRECT("raport_"&amp;$B$12-1&amp;"[@[Closing balance ]]")</f>
        <v>#REF!</v>
      </c>
      <c r="D2" s="3">
        <f ca="1">SUMIFS(operations[Amount],operations[Bank],raports_8[[#This Row],[Bank]],operations[Product],raports_8[[#This Row],[Product]],operations[Month],$B$12)</f>
        <v>200</v>
      </c>
      <c r="E2" s="3" t="e">
        <f ca="1">raports_8[[#This Row],[Opening balance]]+raports_8[[#This Row],[Operation]]</f>
        <v>#REF!</v>
      </c>
      <c r="G2" t="s">
        <v>41</v>
      </c>
      <c r="H2" s="2">
        <f ca="1">SUMIFS(operations[Amount],operations[Category],Expenses8[[#This Row],[Category]],operations[Month],'1'!$B$12)</f>
        <v>-2000</v>
      </c>
      <c r="J2" t="s">
        <v>54</v>
      </c>
      <c r="K2" s="3"/>
      <c r="N2" t="s">
        <v>42</v>
      </c>
    </row>
    <row r="3" spans="1:14">
      <c r="A3" t="s">
        <v>38</v>
      </c>
      <c r="B3" t="s">
        <v>46</v>
      </c>
      <c r="C3" s="3">
        <v>10.5</v>
      </c>
      <c r="D3" s="3">
        <f ca="1">SUMIFS(operations[Amount],operations[Bank],raports_8[[#This Row],[Bank]],operations[Product],raports_8[[#This Row],[Product]],operations[Month],$B$12)</f>
        <v>-300</v>
      </c>
      <c r="E3" s="3">
        <f ca="1">raports_8[[#This Row],[Opening balance]]+raports_8[[#This Row],[Operation]]</f>
        <v>-289.5</v>
      </c>
      <c r="G3" t="s">
        <v>45</v>
      </c>
      <c r="H3" s="2">
        <f ca="1">SUMIFS(operations[Amount],operations[Category],Expenses8[[#This Row],[Category]],operations[Month],'1'!$B$12)</f>
        <v>-80</v>
      </c>
      <c r="J3" t="s">
        <v>55</v>
      </c>
      <c r="K3" s="3">
        <f ca="1">SUMIFS(operations[Amount],operations[Category],Table9162832364044[[#This Row],[Category]],operations[Month],'1'!$B$12)</f>
        <v>-100</v>
      </c>
      <c r="N3" t="s">
        <v>42</v>
      </c>
    </row>
    <row r="4" spans="1:14">
      <c r="A4" t="s">
        <v>39</v>
      </c>
      <c r="B4" t="s">
        <v>43</v>
      </c>
      <c r="C4" s="3">
        <v>600</v>
      </c>
      <c r="D4" s="3">
        <f ca="1">SUMIFS(operations[Amount],operations[Bank],raports_8[[#This Row],[Bank]],operations[Product],raports_8[[#This Row],[Product]],operations[Month],$B$12)</f>
        <v>1475</v>
      </c>
      <c r="E4" s="3">
        <f ca="1">raports_8[[#This Row],[Opening balance]]+raports_8[[#This Row],[Operation]]</f>
        <v>2075</v>
      </c>
      <c r="G4" t="s">
        <v>49</v>
      </c>
      <c r="H4" s="2">
        <f ca="1">SUMIFS(operations[Amount],operations[Category],Expenses8[[#This Row],[Category]],operations[Month],'1'!$B$12)</f>
        <v>-85</v>
      </c>
      <c r="J4" t="s">
        <v>56</v>
      </c>
      <c r="K4" s="3">
        <f ca="1">SUMIFS(operations[Amount],operations[Category],Table9162832364044[[#This Row],[Category]],operations[Month],'1'!$B$12)</f>
        <v>-80</v>
      </c>
      <c r="N4" t="s">
        <v>42</v>
      </c>
    </row>
    <row r="5" spans="1:14">
      <c r="A5" t="s">
        <v>39</v>
      </c>
      <c r="B5" t="s">
        <v>47</v>
      </c>
      <c r="C5" s="3">
        <v>0</v>
      </c>
      <c r="D5" s="3">
        <f ca="1">SUMIFS(operations[Amount],operations[Bank],raports_8[[#This Row],[Bank]],operations[Product],raports_8[[#This Row],[Product]],operations[Month],$B$12)</f>
        <v>33</v>
      </c>
      <c r="E5" s="3">
        <f ca="1">raports_8[[#This Row],[Opening balance]]+raports_8[[#This Row],[Operation]]</f>
        <v>33</v>
      </c>
      <c r="G5" t="s">
        <v>51</v>
      </c>
      <c r="H5" s="2">
        <f ca="1">SUMIFS(operations[Amount],operations[Category],Expenses8[[#This Row],[Category]],operations[Month],'1'!$B$12)</f>
        <v>-1715</v>
      </c>
      <c r="J5" t="s">
        <v>57</v>
      </c>
      <c r="K5" s="3">
        <f ca="1">SUMIFS(operations[Amount],operations[Category],Table9162832364044[[#This Row],[Category]],operations[Month],'1'!$B$12)</f>
        <v>250</v>
      </c>
      <c r="N5" t="s">
        <v>42</v>
      </c>
    </row>
    <row r="6" spans="1:14">
      <c r="A6" t="s">
        <v>39</v>
      </c>
      <c r="B6" t="s">
        <v>50</v>
      </c>
      <c r="C6" s="3">
        <v>2000</v>
      </c>
      <c r="D6" s="3">
        <f ca="1">SUMIFS(operations[Amount],operations[Bank],raports_8[[#This Row],[Bank]],operations[Product],raports_8[[#This Row],[Product]],operations[Month],$B$12)</f>
        <v>-1020</v>
      </c>
      <c r="E6" s="3">
        <f ca="1">raports_8[[#This Row],[Opening balance]]+raports_8[[#This Row],[Operation]]</f>
        <v>980</v>
      </c>
      <c r="G6" t="s">
        <v>52</v>
      </c>
      <c r="H6" s="2">
        <f ca="1">SUMIFS(operations[Amount],operations[Category],Expenses8[[#This Row],[Category]],operations[Month],'1'!$B$12)</f>
        <v>-100</v>
      </c>
      <c r="J6" t="s">
        <v>59</v>
      </c>
      <c r="K6" s="3">
        <f ca="1">SUMIFS(operations[Amount],operations[Category],Table9162832364044[[#This Row],[Category]],operations[Month],'1'!$B$12)</f>
        <v>105.5</v>
      </c>
      <c r="N6" t="s">
        <v>42</v>
      </c>
    </row>
    <row r="7" spans="1:14">
      <c r="A7" t="s">
        <v>40</v>
      </c>
      <c r="B7" t="s">
        <v>44</v>
      </c>
      <c r="C7" s="3">
        <v>200</v>
      </c>
      <c r="D7" s="3">
        <f ca="1">SUMIFS(operations[Amount],operations[Bank],raports_8[[#This Row],[Bank]],operations[Product],raports_8[[#This Row],[Product]],operations[Month],$B$12)</f>
        <v>0</v>
      </c>
      <c r="E7" s="3">
        <f ca="1">raports_8[[#This Row],[Opening balance]]+raports_8[[#This Row],[Operation]]</f>
        <v>200</v>
      </c>
      <c r="G7" t="s">
        <v>53</v>
      </c>
      <c r="H7" s="2">
        <f ca="1">SUMIFS(operations[Amount],operations[Category],Expenses8[[#This Row],[Category]],operations[Month],'1'!$B$12)</f>
        <v>-150</v>
      </c>
      <c r="J7" t="s">
        <v>60</v>
      </c>
      <c r="K7" s="3">
        <f ca="1">SUMIFS(operations[Amount],operations[Category],Table9162832364044[[#This Row],[Category]],operations[Month],'1'!$B$12)</f>
        <v>0</v>
      </c>
      <c r="N7" t="s">
        <v>42</v>
      </c>
    </row>
    <row r="8" spans="1:14">
      <c r="A8" t="s">
        <v>40</v>
      </c>
      <c r="B8" t="s">
        <v>48</v>
      </c>
      <c r="C8" s="3">
        <v>30</v>
      </c>
      <c r="D8" s="3">
        <f ca="1">SUMIFS(operations[Amount],operations[Bank],raports_8[[#This Row],[Bank]],operations[Product],raports_8[[#This Row],[Product]],operations[Month],$B$12)</f>
        <v>2.5</v>
      </c>
      <c r="E8" s="3">
        <f ca="1">raports_8[[#This Row],[Opening balance]]+raports_8[[#This Row],[Operation]]</f>
        <v>32.5</v>
      </c>
      <c r="G8" t="s">
        <v>71</v>
      </c>
      <c r="H8" s="3">
        <f ca="1">SUBTOTAL(109,Expenses8[Total])</f>
        <v>-4130</v>
      </c>
      <c r="J8" t="s">
        <v>61</v>
      </c>
      <c r="K8" s="3">
        <f ca="1">SUMIFS(operations[Amount],operations[Category],Table9162832364044[[#This Row],[Category]],operations[Month],'1'!$B$12)</f>
        <v>800</v>
      </c>
      <c r="N8" t="s">
        <v>42</v>
      </c>
    </row>
    <row r="9" spans="1:14">
      <c r="A9" s="3" t="s">
        <v>71</v>
      </c>
      <c r="B9" s="3"/>
      <c r="C9" s="3" t="e">
        <f ca="1">SUBTOTAL(109,raports_8[Opening balance])</f>
        <v>#REF!</v>
      </c>
      <c r="D9" s="3">
        <f ca="1">SUBTOTAL(109,raports_8[Operation])</f>
        <v>390.5</v>
      </c>
      <c r="E9" s="3" t="e">
        <f ca="1">SUBTOTAL(109,raports_8[Closing balance])</f>
        <v>#REF!</v>
      </c>
      <c r="J9" t="s">
        <v>62</v>
      </c>
      <c r="K9" s="3">
        <f ca="1">SUMIFS(operations[Amount],operations[Category],Table9162832364044[[#This Row],[Category]],operations[Month],'1'!$B$12)</f>
        <v>4500</v>
      </c>
      <c r="N9" t="s">
        <v>42</v>
      </c>
    </row>
    <row r="10" spans="10:14">
      <c r="J10" t="s">
        <v>63</v>
      </c>
      <c r="K10" s="3">
        <f ca="1">SUMIFS(operations[Amount],operations[Category],Table9162832364044[[#This Row],[Category]],operations[Month],'1'!$B$12)</f>
        <v>0</v>
      </c>
      <c r="N10" t="s">
        <v>42</v>
      </c>
    </row>
    <row r="11" spans="10:14">
      <c r="J11" t="s">
        <v>64</v>
      </c>
      <c r="K11" s="3">
        <f ca="1">SUMIFS(operations[Amount],operations[Category],Table9162832364044[[#This Row],[Category]],operations[Month],'1'!$B$12)</f>
        <v>0</v>
      </c>
      <c r="N11" t="s">
        <v>58</v>
      </c>
    </row>
    <row r="12" spans="1:14">
      <c r="A12" t="s">
        <v>67</v>
      </c>
      <c r="B12" t="str" cm="1">
        <f ca="1" t="array" ref="B12">_xlfn.TEXTAFTER(CELL("filename",A1),"]")</f>
        <v>8</v>
      </c>
      <c r="J12" t="s">
        <v>71</v>
      </c>
      <c r="K12" s="3">
        <f ca="1">SUBTOTAL(109,Table9162832364044[Total])</f>
        <v>5475.5</v>
      </c>
      <c r="N12" t="s">
        <v>58</v>
      </c>
    </row>
    <row r="13" spans="7:14">
      <c r="G13" t="s">
        <v>72</v>
      </c>
      <c r="N13" t="s">
        <v>58</v>
      </c>
    </row>
    <row r="14" spans="1:14">
      <c r="A14" t="s">
        <v>36</v>
      </c>
      <c r="B14" t="s">
        <v>71</v>
      </c>
      <c r="N14" t="s">
        <v>58</v>
      </c>
    </row>
    <row r="15" spans="1:14">
      <c r="A15" t="s">
        <v>58</v>
      </c>
      <c r="B15" s="3">
        <f ca="1">SUMIFS(operations[Amount],operations[Type],balance_8[[#This Row],[Type]],operations[Month],'1'!$B$12)</f>
        <v>5655.5</v>
      </c>
      <c r="N15" t="s">
        <v>58</v>
      </c>
    </row>
    <row r="16" spans="1:14">
      <c r="A16" t="s">
        <v>42</v>
      </c>
      <c r="B16" s="3">
        <f ca="1">SUMIFS(operations[Amount],operations[Type],balance_8[[#This Row],[Type]],operations[Month],'1'!$B$12)</f>
        <v>-4810</v>
      </c>
      <c r="N16" t="s">
        <v>58</v>
      </c>
    </row>
    <row r="17" spans="1:14">
      <c r="A17" t="s">
        <v>64</v>
      </c>
      <c r="B17" s="3">
        <f ca="1">SUMIFS(operations[Amount],operations[Type],balance_8[[#This Row],[Type]],operations[Month],'1'!$B$12)</f>
        <v>0</v>
      </c>
      <c r="N17" t="s">
        <v>64</v>
      </c>
    </row>
    <row r="18" spans="1:2">
      <c r="A18" t="s">
        <v>71</v>
      </c>
      <c r="B18" s="3">
        <f ca="1">SUBTOTAL(109,balance_8[Total])</f>
        <v>845.5</v>
      </c>
    </row>
  </sheetData>
  <pageMargins left="0.7" right="0.7" top="0.75" bottom="0.75" header="0.3" footer="0.3"/>
  <headerFooter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C2" sqref="C2"/>
    </sheetView>
  </sheetViews>
  <sheetFormatPr defaultColWidth="9" defaultRowHeight="14.4"/>
  <cols>
    <col min="2" max="2" width="18.3333333333333" customWidth="1"/>
    <col min="3" max="3" width="18" customWidth="1"/>
    <col min="4" max="4" width="12.1111111111111" customWidth="1"/>
    <col min="5" max="5" width="16.8888888888889" customWidth="1"/>
    <col min="7" max="7" width="15.1111111111111" customWidth="1"/>
    <col min="8" max="8" width="11.4444444444444" customWidth="1"/>
    <col min="10" max="10" width="15.1111111111111" customWidth="1"/>
    <col min="11" max="11" width="11.4444444444444" customWidth="1"/>
  </cols>
  <sheetData>
    <row r="1" spans="1:14">
      <c r="A1" t="s">
        <v>1</v>
      </c>
      <c r="B1" t="s">
        <v>37</v>
      </c>
      <c r="C1" t="s">
        <v>68</v>
      </c>
      <c r="D1" t="s">
        <v>69</v>
      </c>
      <c r="E1" t="s">
        <v>70</v>
      </c>
      <c r="G1" t="s">
        <v>35</v>
      </c>
      <c r="H1" s="2" t="s">
        <v>71</v>
      </c>
      <c r="J1" t="s">
        <v>35</v>
      </c>
      <c r="K1" t="s">
        <v>71</v>
      </c>
      <c r="N1" t="s">
        <v>36</v>
      </c>
    </row>
    <row r="2" spans="1:14">
      <c r="A2" t="s">
        <v>38</v>
      </c>
      <c r="B2" t="s">
        <v>43</v>
      </c>
      <c r="C2" s="3" t="e" cm="1">
        <f ca="1" t="array" ref="C2">INDIRECT("raport_"&amp;$B$12-1&amp;"[@[Closing balance ]]")</f>
        <v>#REF!</v>
      </c>
      <c r="D2" s="3">
        <f ca="1">SUMIFS(operations[Amount],operations[Bank],raports_9[[#This Row],[Bank]],operations[Product],raports_9[[#This Row],[Product]],operations[Month],$B$12)</f>
        <v>-20</v>
      </c>
      <c r="E2" s="3" t="e">
        <f ca="1">raports_9[[#This Row],[Opening balance]]+raports_9[[#This Row],[Operation]]</f>
        <v>#REF!</v>
      </c>
      <c r="G2" t="s">
        <v>41</v>
      </c>
      <c r="H2" s="2">
        <f ca="1">SUMIFS(operations[Amount],operations[Category],Expenses9[[#This Row],[Category]],operations[Month],'1'!$B$12)</f>
        <v>-2000</v>
      </c>
      <c r="J2" t="s">
        <v>54</v>
      </c>
      <c r="K2" s="3"/>
      <c r="N2" t="s">
        <v>42</v>
      </c>
    </row>
    <row r="3" spans="1:14">
      <c r="A3" t="s">
        <v>38</v>
      </c>
      <c r="B3" t="s">
        <v>46</v>
      </c>
      <c r="C3" s="3">
        <v>10.5</v>
      </c>
      <c r="D3" s="3">
        <f ca="1">SUMIFS(operations[Amount],operations[Bank],raports_9[[#This Row],[Bank]],operations[Product],raports_9[[#This Row],[Product]],operations[Month],$B$12)</f>
        <v>0</v>
      </c>
      <c r="E3" s="3">
        <f ca="1">raports_9[[#This Row],[Opening balance]]+raports_9[[#This Row],[Operation]]</f>
        <v>10.5</v>
      </c>
      <c r="G3" t="s">
        <v>45</v>
      </c>
      <c r="H3" s="2">
        <f ca="1">SUMIFS(operations[Amount],operations[Category],Expenses9[[#This Row],[Category]],operations[Month],'1'!$B$12)</f>
        <v>-80</v>
      </c>
      <c r="J3" t="s">
        <v>55</v>
      </c>
      <c r="K3" s="3">
        <f ca="1">SUMIFS(operations[Amount],operations[Category],Table916283236404448[[#This Row],[Category]],operations[Month],'1'!$B$12)</f>
        <v>-100</v>
      </c>
      <c r="N3" t="s">
        <v>42</v>
      </c>
    </row>
    <row r="4" spans="1:14">
      <c r="A4" t="s">
        <v>39</v>
      </c>
      <c r="B4" t="s">
        <v>43</v>
      </c>
      <c r="C4" s="3">
        <v>600</v>
      </c>
      <c r="D4" s="3">
        <f ca="1">SUMIFS(operations[Amount],operations[Bank],raports_9[[#This Row],[Bank]],operations[Product],raports_9[[#This Row],[Product]],operations[Month],$B$12)</f>
        <v>1689.5</v>
      </c>
      <c r="E4" s="3">
        <f ca="1">raports_9[[#This Row],[Opening balance]]+raports_9[[#This Row],[Operation]]</f>
        <v>2289.5</v>
      </c>
      <c r="G4" t="s">
        <v>49</v>
      </c>
      <c r="H4" s="2">
        <f ca="1">SUMIFS(operations[Amount],operations[Category],Expenses9[[#This Row],[Category]],operations[Month],'1'!$B$12)</f>
        <v>-85</v>
      </c>
      <c r="J4" t="s">
        <v>56</v>
      </c>
      <c r="K4" s="3">
        <f ca="1">SUMIFS(operations[Amount],operations[Category],Table916283236404448[[#This Row],[Category]],operations[Month],'1'!$B$12)</f>
        <v>-80</v>
      </c>
      <c r="N4" t="s">
        <v>42</v>
      </c>
    </row>
    <row r="5" spans="1:14">
      <c r="A5" t="s">
        <v>39</v>
      </c>
      <c r="B5" t="s">
        <v>47</v>
      </c>
      <c r="C5" s="3">
        <v>0</v>
      </c>
      <c r="D5" s="3">
        <f ca="1">SUMIFS(operations[Amount],operations[Bank],raports_9[[#This Row],[Bank]],operations[Product],raports_9[[#This Row],[Product]],operations[Month],$B$12)</f>
        <v>82</v>
      </c>
      <c r="E5" s="3">
        <f ca="1">raports_9[[#This Row],[Opening balance]]+raports_9[[#This Row],[Operation]]</f>
        <v>82</v>
      </c>
      <c r="G5" t="s">
        <v>51</v>
      </c>
      <c r="H5" s="2">
        <f ca="1">SUMIFS(operations[Amount],operations[Category],Expenses9[[#This Row],[Category]],operations[Month],'1'!$B$12)</f>
        <v>-1715</v>
      </c>
      <c r="J5" t="s">
        <v>57</v>
      </c>
      <c r="K5" s="3">
        <f ca="1">SUMIFS(operations[Amount],operations[Category],Table916283236404448[[#This Row],[Category]],operations[Month],'1'!$B$12)</f>
        <v>250</v>
      </c>
      <c r="N5" t="s">
        <v>42</v>
      </c>
    </row>
    <row r="6" spans="1:14">
      <c r="A6" t="s">
        <v>39</v>
      </c>
      <c r="B6" t="s">
        <v>50</v>
      </c>
      <c r="C6" s="3">
        <v>2000</v>
      </c>
      <c r="D6" s="3">
        <f ca="1">SUMIFS(operations[Amount],operations[Bank],raports_9[[#This Row],[Bank]],operations[Product],raports_9[[#This Row],[Product]],operations[Month],$B$12)</f>
        <v>0</v>
      </c>
      <c r="E6" s="3">
        <f ca="1">raports_9[[#This Row],[Opening balance]]+raports_9[[#This Row],[Operation]]</f>
        <v>2000</v>
      </c>
      <c r="G6" t="s">
        <v>52</v>
      </c>
      <c r="H6" s="2">
        <f ca="1">SUMIFS(operations[Amount],operations[Category],Expenses9[[#This Row],[Category]],operations[Month],'1'!$B$12)</f>
        <v>-100</v>
      </c>
      <c r="J6" t="s">
        <v>59</v>
      </c>
      <c r="K6" s="3">
        <f ca="1">SUMIFS(operations[Amount],operations[Category],Table916283236404448[[#This Row],[Category]],operations[Month],'1'!$B$12)</f>
        <v>105.5</v>
      </c>
      <c r="N6" t="s">
        <v>42</v>
      </c>
    </row>
    <row r="7" spans="1:14">
      <c r="A7" t="s">
        <v>40</v>
      </c>
      <c r="B7" t="s">
        <v>44</v>
      </c>
      <c r="C7" s="3">
        <v>200</v>
      </c>
      <c r="D7" s="3">
        <f ca="1">SUMIFS(operations[Amount],operations[Bank],raports_9[[#This Row],[Bank]],operations[Product],raports_9[[#This Row],[Product]],operations[Month],$B$12)</f>
        <v>0</v>
      </c>
      <c r="E7" s="3">
        <f ca="1">raports_9[[#This Row],[Opening balance]]+raports_9[[#This Row],[Operation]]</f>
        <v>200</v>
      </c>
      <c r="G7" t="s">
        <v>53</v>
      </c>
      <c r="H7" s="2">
        <f ca="1">SUMIFS(operations[Amount],operations[Category],Expenses9[[#This Row],[Category]],operations[Month],'1'!$B$12)</f>
        <v>-150</v>
      </c>
      <c r="J7" t="s">
        <v>60</v>
      </c>
      <c r="K7" s="3">
        <f ca="1">SUMIFS(operations[Amount],operations[Category],Table916283236404448[[#This Row],[Category]],operations[Month],'1'!$B$12)</f>
        <v>0</v>
      </c>
      <c r="N7" t="s">
        <v>42</v>
      </c>
    </row>
    <row r="8" spans="1:14">
      <c r="A8" t="s">
        <v>40</v>
      </c>
      <c r="B8" t="s">
        <v>48</v>
      </c>
      <c r="C8" s="3">
        <v>30</v>
      </c>
      <c r="D8" s="3">
        <f ca="1">SUMIFS(operations[Amount],operations[Bank],raports_9[[#This Row],[Bank]],operations[Product],raports_9[[#This Row],[Product]],operations[Month],$B$12)</f>
        <v>0</v>
      </c>
      <c r="E8" s="3">
        <f ca="1">raports_9[[#This Row],[Opening balance]]+raports_9[[#This Row],[Operation]]</f>
        <v>30</v>
      </c>
      <c r="G8" t="s">
        <v>71</v>
      </c>
      <c r="H8" s="3">
        <f ca="1">SUBTOTAL(109,Expenses9[Total])</f>
        <v>-4130</v>
      </c>
      <c r="J8" t="s">
        <v>61</v>
      </c>
      <c r="K8" s="3">
        <f ca="1">SUMIFS(operations[Amount],operations[Category],Table916283236404448[[#This Row],[Category]],operations[Month],'1'!$B$12)</f>
        <v>800</v>
      </c>
      <c r="N8" t="s">
        <v>42</v>
      </c>
    </row>
    <row r="9" spans="1:14">
      <c r="A9" s="3" t="s">
        <v>71</v>
      </c>
      <c r="B9" s="3"/>
      <c r="C9" s="3" t="e">
        <f ca="1">SUBTOTAL(109,raports_9[Opening balance])</f>
        <v>#REF!</v>
      </c>
      <c r="D9" s="3">
        <f ca="1">SUBTOTAL(109,raports_9[Operation])</f>
        <v>1751.5</v>
      </c>
      <c r="E9" s="3" t="e">
        <f ca="1">SUBTOTAL(109,raports_9[Closing balance])</f>
        <v>#REF!</v>
      </c>
      <c r="J9" t="s">
        <v>62</v>
      </c>
      <c r="K9" s="3">
        <f ca="1">SUMIFS(operations[Amount],operations[Category],Table916283236404448[[#This Row],[Category]],operations[Month],'1'!$B$12)</f>
        <v>4500</v>
      </c>
      <c r="N9" t="s">
        <v>42</v>
      </c>
    </row>
    <row r="10" spans="10:14">
      <c r="J10" t="s">
        <v>63</v>
      </c>
      <c r="K10" s="3">
        <f ca="1">SUMIFS(operations[Amount],operations[Category],Table916283236404448[[#This Row],[Category]],operations[Month],'1'!$B$12)</f>
        <v>0</v>
      </c>
      <c r="N10" t="s">
        <v>42</v>
      </c>
    </row>
    <row r="11" spans="10:14">
      <c r="J11" t="s">
        <v>64</v>
      </c>
      <c r="K11" s="3">
        <f ca="1">SUMIFS(operations[Amount],operations[Category],Table916283236404448[[#This Row],[Category]],operations[Month],'1'!$B$12)</f>
        <v>0</v>
      </c>
      <c r="N11" t="s">
        <v>58</v>
      </c>
    </row>
    <row r="12" spans="1:14">
      <c r="A12" t="s">
        <v>67</v>
      </c>
      <c r="B12" t="str" cm="1">
        <f ca="1" t="array" ref="B12">_xlfn.TEXTAFTER(CELL("filename",A1),"]")</f>
        <v>9</v>
      </c>
      <c r="J12" t="s">
        <v>71</v>
      </c>
      <c r="K12" s="3">
        <f ca="1">SUBTOTAL(109,Table916283236404448[Total])</f>
        <v>5475.5</v>
      </c>
      <c r="N12" t="s">
        <v>58</v>
      </c>
    </row>
    <row r="13" spans="7:14">
      <c r="G13" t="s">
        <v>72</v>
      </c>
      <c r="N13" t="s">
        <v>58</v>
      </c>
    </row>
    <row r="14" spans="1:14">
      <c r="A14" t="s">
        <v>36</v>
      </c>
      <c r="B14" t="s">
        <v>71</v>
      </c>
      <c r="N14" t="s">
        <v>58</v>
      </c>
    </row>
    <row r="15" spans="1:14">
      <c r="A15" t="s">
        <v>58</v>
      </c>
      <c r="B15" s="3">
        <f ca="1">SUMIFS(operations[Amount],operations[Type],balance_9[[#This Row],[Type]],operations[Month],'1'!$B$12)</f>
        <v>5655.5</v>
      </c>
      <c r="N15" t="s">
        <v>58</v>
      </c>
    </row>
    <row r="16" spans="1:14">
      <c r="A16" t="s">
        <v>42</v>
      </c>
      <c r="B16" s="3">
        <f ca="1">SUMIFS(operations[Amount],operations[Type],balance_9[[#This Row],[Type]],operations[Month],'1'!$B$12)</f>
        <v>-4810</v>
      </c>
      <c r="N16" t="s">
        <v>58</v>
      </c>
    </row>
    <row r="17" spans="1:14">
      <c r="A17" t="s">
        <v>64</v>
      </c>
      <c r="B17" s="3">
        <f ca="1">SUMIFS(operations[Amount],operations[Type],balance_9[[#This Row],[Type]],operations[Month],'1'!$B$12)</f>
        <v>0</v>
      </c>
      <c r="N17" t="s">
        <v>64</v>
      </c>
    </row>
    <row r="18" spans="1:2">
      <c r="A18" t="s">
        <v>71</v>
      </c>
      <c r="B18" s="3">
        <f ca="1">SUBTOTAL(109,balance_9[Total])</f>
        <v>845.5</v>
      </c>
    </row>
  </sheetData>
  <pageMargins left="0.7" right="0.7" top="0.75" bottom="0.75" header="0.3" footer="0.3"/>
  <headerFooter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C2" sqref="C2"/>
    </sheetView>
  </sheetViews>
  <sheetFormatPr defaultColWidth="9" defaultRowHeight="14.4"/>
  <cols>
    <col min="2" max="2" width="18.3333333333333" customWidth="1"/>
    <col min="3" max="3" width="18" customWidth="1"/>
    <col min="4" max="4" width="12.1111111111111" customWidth="1"/>
    <col min="5" max="5" width="16.8888888888889" customWidth="1"/>
    <col min="7" max="7" width="15.1111111111111" customWidth="1"/>
    <col min="8" max="8" width="11.4444444444444" customWidth="1"/>
    <col min="10" max="10" width="15.1111111111111" customWidth="1"/>
    <col min="11" max="11" width="11.4444444444444" customWidth="1"/>
  </cols>
  <sheetData>
    <row r="1" spans="1:14">
      <c r="A1" t="s">
        <v>1</v>
      </c>
      <c r="B1" t="s">
        <v>37</v>
      </c>
      <c r="C1" t="s">
        <v>68</v>
      </c>
      <c r="D1" t="s">
        <v>69</v>
      </c>
      <c r="E1" t="s">
        <v>70</v>
      </c>
      <c r="G1" t="s">
        <v>35</v>
      </c>
      <c r="H1" s="2" t="s">
        <v>71</v>
      </c>
      <c r="J1" t="s">
        <v>35</v>
      </c>
      <c r="K1" t="s">
        <v>71</v>
      </c>
      <c r="N1" t="s">
        <v>36</v>
      </c>
    </row>
    <row r="2" spans="1:14">
      <c r="A2" t="s">
        <v>38</v>
      </c>
      <c r="B2" t="s">
        <v>43</v>
      </c>
      <c r="C2" s="3" t="e" cm="1">
        <f ca="1" t="array" ref="C2">INDIRECT("raport_"&amp;$B$12-1&amp;"[@[Closing balance ]]")</f>
        <v>#REF!</v>
      </c>
      <c r="D2" s="3">
        <f ca="1">SUMIFS(operations[Amount],operations[Bank],raports_10[[#This Row],[Bank]],operations[Product],raports_10[[#This Row],[Product]],operations[Month],$B$12)</f>
        <v>0</v>
      </c>
      <c r="E2" s="3" t="e">
        <f ca="1">raports_10[[#This Row],[Opening balance]]+raports_10[[#This Row],[Operation]]</f>
        <v>#REF!</v>
      </c>
      <c r="G2" t="s">
        <v>41</v>
      </c>
      <c r="H2" s="2">
        <f ca="1">SUMIFS(operations[Amount],operations[Category],Expenses10[[#This Row],[Category]],operations[Month],'1'!$B$12)</f>
        <v>-2000</v>
      </c>
      <c r="J2" t="s">
        <v>54</v>
      </c>
      <c r="K2" s="3"/>
      <c r="N2" t="s">
        <v>42</v>
      </c>
    </row>
    <row r="3" spans="1:14">
      <c r="A3" t="s">
        <v>38</v>
      </c>
      <c r="B3" t="s">
        <v>46</v>
      </c>
      <c r="C3" s="3">
        <v>10.5</v>
      </c>
      <c r="D3" s="3">
        <f ca="1">SUMIFS(operations[Amount],operations[Bank],raports_10[[#This Row],[Bank]],operations[Product],raports_10[[#This Row],[Product]],operations[Month],$B$12)</f>
        <v>0</v>
      </c>
      <c r="E3" s="3">
        <f ca="1">raports_10[[#This Row],[Opening balance]]+raports_10[[#This Row],[Operation]]</f>
        <v>10.5</v>
      </c>
      <c r="G3" t="s">
        <v>45</v>
      </c>
      <c r="H3" s="2">
        <f ca="1">SUMIFS(operations[Amount],operations[Category],Expenses10[[#This Row],[Category]],operations[Month],'1'!$B$12)</f>
        <v>-80</v>
      </c>
      <c r="J3" t="s">
        <v>55</v>
      </c>
      <c r="K3" s="3">
        <f ca="1">SUMIFS(operations[Amount],operations[Category],Table91628323640444852[[#This Row],[Category]],operations[Month],'1'!$B$12)</f>
        <v>-100</v>
      </c>
      <c r="N3" t="s">
        <v>42</v>
      </c>
    </row>
    <row r="4" spans="1:14">
      <c r="A4" t="s">
        <v>39</v>
      </c>
      <c r="B4" t="s">
        <v>43</v>
      </c>
      <c r="C4" s="3">
        <v>600</v>
      </c>
      <c r="D4" s="3">
        <f ca="1">SUMIFS(operations[Amount],operations[Bank],raports_10[[#This Row],[Bank]],operations[Product],raports_10[[#This Row],[Product]],operations[Month],$B$12)</f>
        <v>1690</v>
      </c>
      <c r="E4" s="3">
        <f ca="1">raports_10[[#This Row],[Opening balance]]+raports_10[[#This Row],[Operation]]</f>
        <v>2290</v>
      </c>
      <c r="G4" t="s">
        <v>49</v>
      </c>
      <c r="H4" s="2">
        <f ca="1">SUMIFS(operations[Amount],operations[Category],Expenses10[[#This Row],[Category]],operations[Month],'1'!$B$12)</f>
        <v>-85</v>
      </c>
      <c r="J4" t="s">
        <v>56</v>
      </c>
      <c r="K4" s="3">
        <f ca="1">SUMIFS(operations[Amount],operations[Category],Table91628323640444852[[#This Row],[Category]],operations[Month],'1'!$B$12)</f>
        <v>-80</v>
      </c>
      <c r="N4" t="s">
        <v>42</v>
      </c>
    </row>
    <row r="5" spans="1:14">
      <c r="A5" t="s">
        <v>39</v>
      </c>
      <c r="B5" t="s">
        <v>47</v>
      </c>
      <c r="C5" s="3">
        <v>0</v>
      </c>
      <c r="D5" s="3">
        <f ca="1">SUMIFS(operations[Amount],operations[Bank],raports_10[[#This Row],[Bank]],operations[Product],raports_10[[#This Row],[Product]],operations[Month],$B$12)</f>
        <v>-20</v>
      </c>
      <c r="E5" s="3">
        <f ca="1">raports_10[[#This Row],[Opening balance]]+raports_10[[#This Row],[Operation]]</f>
        <v>-20</v>
      </c>
      <c r="G5" t="s">
        <v>51</v>
      </c>
      <c r="H5" s="2">
        <f ca="1">SUMIFS(operations[Amount],operations[Category],Expenses10[[#This Row],[Category]],operations[Month],'1'!$B$12)</f>
        <v>-1715</v>
      </c>
      <c r="J5" t="s">
        <v>57</v>
      </c>
      <c r="K5" s="3">
        <f ca="1">SUMIFS(operations[Amount],operations[Category],Table91628323640444852[[#This Row],[Category]],operations[Month],'1'!$B$12)</f>
        <v>250</v>
      </c>
      <c r="N5" t="s">
        <v>42</v>
      </c>
    </row>
    <row r="6" spans="1:14">
      <c r="A6" t="s">
        <v>39</v>
      </c>
      <c r="B6" t="s">
        <v>50</v>
      </c>
      <c r="C6" s="3">
        <v>2000</v>
      </c>
      <c r="D6" s="3">
        <f ca="1">SUMIFS(operations[Amount],operations[Bank],raports_10[[#This Row],[Bank]],operations[Product],raports_10[[#This Row],[Product]],operations[Month],$B$12)</f>
        <v>0</v>
      </c>
      <c r="E6" s="3">
        <f ca="1">raports_10[[#This Row],[Opening balance]]+raports_10[[#This Row],[Operation]]</f>
        <v>2000</v>
      </c>
      <c r="G6" t="s">
        <v>52</v>
      </c>
      <c r="H6" s="2">
        <f ca="1">SUMIFS(operations[Amount],operations[Category],Expenses10[[#This Row],[Category]],operations[Month],'1'!$B$12)</f>
        <v>-100</v>
      </c>
      <c r="J6" t="s">
        <v>59</v>
      </c>
      <c r="K6" s="3">
        <f ca="1">SUMIFS(operations[Amount],operations[Category],Table91628323640444852[[#This Row],[Category]],operations[Month],'1'!$B$12)</f>
        <v>105.5</v>
      </c>
      <c r="N6" t="s">
        <v>42</v>
      </c>
    </row>
    <row r="7" spans="1:14">
      <c r="A7" t="s">
        <v>40</v>
      </c>
      <c r="B7" t="s">
        <v>44</v>
      </c>
      <c r="C7" s="3">
        <v>200</v>
      </c>
      <c r="D7" s="3">
        <f ca="1">SUMIFS(operations[Amount],operations[Bank],raports_10[[#This Row],[Bank]],operations[Product],raports_10[[#This Row],[Product]],operations[Month],$B$12)</f>
        <v>0</v>
      </c>
      <c r="E7" s="3">
        <f ca="1">raports_10[[#This Row],[Opening balance]]+raports_10[[#This Row],[Operation]]</f>
        <v>200</v>
      </c>
      <c r="G7" t="s">
        <v>53</v>
      </c>
      <c r="H7" s="2">
        <f ca="1">SUMIFS(operations[Amount],operations[Category],Expenses10[[#This Row],[Category]],operations[Month],'1'!$B$12)</f>
        <v>-150</v>
      </c>
      <c r="J7" t="s">
        <v>60</v>
      </c>
      <c r="K7" s="3">
        <f ca="1">SUMIFS(operations[Amount],operations[Category],Table91628323640444852[[#This Row],[Category]],operations[Month],'1'!$B$12)</f>
        <v>0</v>
      </c>
      <c r="N7" t="s">
        <v>42</v>
      </c>
    </row>
    <row r="8" spans="1:14">
      <c r="A8" t="s">
        <v>40</v>
      </c>
      <c r="B8" t="s">
        <v>48</v>
      </c>
      <c r="C8" s="3">
        <v>30</v>
      </c>
      <c r="D8" s="3">
        <f ca="1">SUMIFS(operations[Amount],operations[Bank],raports_10[[#This Row],[Bank]],operations[Product],raports_10[[#This Row],[Product]],operations[Month],$B$12)</f>
        <v>0</v>
      </c>
      <c r="E8" s="3">
        <f ca="1">raports_10[[#This Row],[Opening balance]]+raports_10[[#This Row],[Operation]]</f>
        <v>30</v>
      </c>
      <c r="G8" t="s">
        <v>71</v>
      </c>
      <c r="H8" s="3">
        <f ca="1">SUBTOTAL(109,Expenses10[Total])</f>
        <v>-4130</v>
      </c>
      <c r="J8" t="s">
        <v>61</v>
      </c>
      <c r="K8" s="3">
        <f ca="1">SUMIFS(operations[Amount],operations[Category],Table91628323640444852[[#This Row],[Category]],operations[Month],'1'!$B$12)</f>
        <v>800</v>
      </c>
      <c r="N8" t="s">
        <v>42</v>
      </c>
    </row>
    <row r="9" spans="1:14">
      <c r="A9" s="3" t="s">
        <v>71</v>
      </c>
      <c r="B9" s="3"/>
      <c r="C9" s="3" t="e">
        <f ca="1">SUBTOTAL(109,raports_10[Opening balance])</f>
        <v>#REF!</v>
      </c>
      <c r="D9" s="3">
        <f ca="1">SUBTOTAL(109,raports_10[Operation])</f>
        <v>1670</v>
      </c>
      <c r="E9" s="3" t="e">
        <f ca="1">SUBTOTAL(109,raports_10[Closing balance])</f>
        <v>#REF!</v>
      </c>
      <c r="J9" t="s">
        <v>62</v>
      </c>
      <c r="K9" s="3">
        <f ca="1">SUMIFS(operations[Amount],operations[Category],Table91628323640444852[[#This Row],[Category]],operations[Month],'1'!$B$12)</f>
        <v>4500</v>
      </c>
      <c r="N9" t="s">
        <v>42</v>
      </c>
    </row>
    <row r="10" spans="10:14">
      <c r="J10" t="s">
        <v>63</v>
      </c>
      <c r="K10" s="3">
        <f ca="1">SUMIFS(operations[Amount],operations[Category],Table91628323640444852[[#This Row],[Category]],operations[Month],'1'!$B$12)</f>
        <v>0</v>
      </c>
      <c r="N10" t="s">
        <v>42</v>
      </c>
    </row>
    <row r="11" spans="10:14">
      <c r="J11" t="s">
        <v>64</v>
      </c>
      <c r="K11" s="3">
        <f ca="1">SUMIFS(operations[Amount],operations[Category],Table91628323640444852[[#This Row],[Category]],operations[Month],'1'!$B$12)</f>
        <v>0</v>
      </c>
      <c r="N11" t="s">
        <v>58</v>
      </c>
    </row>
    <row r="12" spans="1:14">
      <c r="A12" t="s">
        <v>67</v>
      </c>
      <c r="B12" t="str" cm="1">
        <f ca="1" t="array" ref="B12">_xlfn.TEXTAFTER(CELL("filename",A1),"]")</f>
        <v>10</v>
      </c>
      <c r="J12" t="s">
        <v>71</v>
      </c>
      <c r="K12" s="3">
        <f ca="1">SUBTOTAL(109,Table91628323640444852[Total])</f>
        <v>5475.5</v>
      </c>
      <c r="N12" t="s">
        <v>58</v>
      </c>
    </row>
    <row r="13" spans="7:14">
      <c r="G13" t="s">
        <v>72</v>
      </c>
      <c r="N13" t="s">
        <v>58</v>
      </c>
    </row>
    <row r="14" spans="1:14">
      <c r="A14" t="s">
        <v>36</v>
      </c>
      <c r="B14" t="s">
        <v>71</v>
      </c>
      <c r="N14" t="s">
        <v>58</v>
      </c>
    </row>
    <row r="15" spans="1:14">
      <c r="A15" t="s">
        <v>58</v>
      </c>
      <c r="B15" s="3">
        <f ca="1">SUMIFS(operations[Amount],operations[Type],balance_10[[#This Row],[Type]],operations[Month],'1'!$B$12)</f>
        <v>5655.5</v>
      </c>
      <c r="N15" t="s">
        <v>58</v>
      </c>
    </row>
    <row r="16" spans="1:14">
      <c r="A16" t="s">
        <v>42</v>
      </c>
      <c r="B16" s="3">
        <f ca="1">SUMIFS(operations[Amount],operations[Type],balance_10[[#This Row],[Type]],operations[Month],'1'!$B$12)</f>
        <v>-4810</v>
      </c>
      <c r="N16" t="s">
        <v>58</v>
      </c>
    </row>
    <row r="17" spans="1:14">
      <c r="A17" t="s">
        <v>64</v>
      </c>
      <c r="B17" s="3">
        <f ca="1">SUMIFS(operations[Amount],operations[Type],balance_10[[#This Row],[Type]],operations[Month],'1'!$B$12)</f>
        <v>0</v>
      </c>
      <c r="N17" t="s">
        <v>64</v>
      </c>
    </row>
    <row r="18" spans="1:2">
      <c r="A18" t="s">
        <v>71</v>
      </c>
      <c r="B18" s="3">
        <f ca="1">SUBTOTAL(109,balance_10[Total])</f>
        <v>845.5</v>
      </c>
    </row>
  </sheetData>
  <pageMargins left="0.7" right="0.7" top="0.75" bottom="0.75" header="0.3" footer="0.3"/>
  <headerFooter/>
  <tableParts count="4">
    <tablePart r:id="rId1"/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C2" sqref="C2"/>
    </sheetView>
  </sheetViews>
  <sheetFormatPr defaultColWidth="9" defaultRowHeight="14.4"/>
  <cols>
    <col min="2" max="2" width="18.3333333333333" customWidth="1"/>
    <col min="3" max="3" width="18" customWidth="1"/>
    <col min="4" max="4" width="12.1111111111111" customWidth="1"/>
    <col min="5" max="5" width="16.8888888888889" customWidth="1"/>
    <col min="7" max="7" width="15.1111111111111" customWidth="1"/>
    <col min="8" max="8" width="11.4444444444444" customWidth="1"/>
    <col min="10" max="10" width="15.1111111111111" customWidth="1"/>
    <col min="11" max="11" width="11.4444444444444" customWidth="1"/>
  </cols>
  <sheetData>
    <row r="1" spans="1:14">
      <c r="A1" t="s">
        <v>1</v>
      </c>
      <c r="B1" t="s">
        <v>37</v>
      </c>
      <c r="C1" t="s">
        <v>68</v>
      </c>
      <c r="D1" t="s">
        <v>69</v>
      </c>
      <c r="E1" t="s">
        <v>70</v>
      </c>
      <c r="G1" t="s">
        <v>35</v>
      </c>
      <c r="H1" s="2" t="s">
        <v>71</v>
      </c>
      <c r="J1" t="s">
        <v>35</v>
      </c>
      <c r="K1" t="s">
        <v>71</v>
      </c>
      <c r="N1" t="s">
        <v>36</v>
      </c>
    </row>
    <row r="2" spans="1:14">
      <c r="A2" t="s">
        <v>38</v>
      </c>
      <c r="B2" t="s">
        <v>43</v>
      </c>
      <c r="C2" s="3" t="e" cm="1">
        <f ca="1" t="array" ref="C2">INDIRECT("raport_"&amp;$B$12-1&amp;"[@[Closing balance ]]")</f>
        <v>#REF!</v>
      </c>
      <c r="D2" s="3">
        <f ca="1">SUMIFS(operations[Amount],operations[Bank],raports_11[[#This Row],[Bank]],operations[Product],raports_11[[#This Row],[Product]],operations[Month],$B$12)</f>
        <v>0</v>
      </c>
      <c r="E2" s="3" t="e">
        <f ca="1">raports_11[[#This Row],[Opening balance]]+raports_11[[#This Row],[Operation]]</f>
        <v>#REF!</v>
      </c>
      <c r="G2" t="s">
        <v>41</v>
      </c>
      <c r="H2" s="2">
        <f ca="1">SUMIFS(operations[Amount],operations[Category],Expenses11[[#This Row],[Category]],operations[Month],'1'!$B$12)</f>
        <v>-2000</v>
      </c>
      <c r="J2" t="s">
        <v>54</v>
      </c>
      <c r="K2" s="3"/>
      <c r="N2" t="s">
        <v>42</v>
      </c>
    </row>
    <row r="3" spans="1:14">
      <c r="A3" t="s">
        <v>38</v>
      </c>
      <c r="B3" t="s">
        <v>46</v>
      </c>
      <c r="C3" s="3">
        <v>10.5</v>
      </c>
      <c r="D3" s="3">
        <f ca="1">SUMIFS(operations[Amount],operations[Bank],raports_11[[#This Row],[Bank]],operations[Product],raports_11[[#This Row],[Product]],operations[Month],$B$12)</f>
        <v>0</v>
      </c>
      <c r="E3" s="3">
        <f ca="1">raports_11[[#This Row],[Opening balance]]+raports_11[[#This Row],[Operation]]</f>
        <v>10.5</v>
      </c>
      <c r="G3" t="s">
        <v>45</v>
      </c>
      <c r="H3" s="2">
        <f ca="1">SUMIFS(operations[Amount],operations[Category],Expenses11[[#This Row],[Category]],operations[Month],'1'!$B$12)</f>
        <v>-80</v>
      </c>
      <c r="J3" t="s">
        <v>55</v>
      </c>
      <c r="K3" s="3">
        <f ca="1">SUMIFS(operations[Amount],operations[Category],Table9162832364044485256[[#This Row],[Category]],operations[Month],'1'!$B$12)</f>
        <v>-100</v>
      </c>
      <c r="N3" t="s">
        <v>42</v>
      </c>
    </row>
    <row r="4" spans="1:14">
      <c r="A4" t="s">
        <v>39</v>
      </c>
      <c r="B4" t="s">
        <v>43</v>
      </c>
      <c r="C4" s="3">
        <v>600</v>
      </c>
      <c r="D4" s="3">
        <f ca="1">SUMIFS(operations[Amount],operations[Bank],raports_11[[#This Row],[Bank]],operations[Product],raports_11[[#This Row],[Product]],operations[Month],$B$12)</f>
        <v>960</v>
      </c>
      <c r="E4" s="3">
        <f ca="1">raports_11[[#This Row],[Opening balance]]+raports_11[[#This Row],[Operation]]</f>
        <v>1560</v>
      </c>
      <c r="G4" t="s">
        <v>49</v>
      </c>
      <c r="H4" s="2">
        <f ca="1">SUMIFS(operations[Amount],operations[Category],Expenses11[[#This Row],[Category]],operations[Month],'1'!$B$12)</f>
        <v>-85</v>
      </c>
      <c r="J4" t="s">
        <v>56</v>
      </c>
      <c r="K4" s="3">
        <f ca="1">SUMIFS(operations[Amount],operations[Category],Table9162832364044485256[[#This Row],[Category]],operations[Month],'1'!$B$12)</f>
        <v>-80</v>
      </c>
      <c r="N4" t="s">
        <v>42</v>
      </c>
    </row>
    <row r="5" spans="1:14">
      <c r="A5" t="s">
        <v>39</v>
      </c>
      <c r="B5" t="s">
        <v>47</v>
      </c>
      <c r="C5" s="3">
        <v>0</v>
      </c>
      <c r="D5" s="3">
        <f ca="1">SUMIFS(operations[Amount],operations[Bank],raports_11[[#This Row],[Bank]],operations[Product],raports_11[[#This Row],[Product]],operations[Month],$B$12)</f>
        <v>40</v>
      </c>
      <c r="E5" s="3">
        <f ca="1">raports_11[[#This Row],[Opening balance]]+raports_11[[#This Row],[Operation]]</f>
        <v>40</v>
      </c>
      <c r="G5" t="s">
        <v>51</v>
      </c>
      <c r="H5" s="2">
        <f ca="1">SUMIFS(operations[Amount],operations[Category],Expenses11[[#This Row],[Category]],operations[Month],'1'!$B$12)</f>
        <v>-1715</v>
      </c>
      <c r="J5" t="s">
        <v>57</v>
      </c>
      <c r="K5" s="3">
        <f ca="1">SUMIFS(operations[Amount],operations[Category],Table9162832364044485256[[#This Row],[Category]],operations[Month],'1'!$B$12)</f>
        <v>250</v>
      </c>
      <c r="N5" t="s">
        <v>42</v>
      </c>
    </row>
    <row r="6" spans="1:14">
      <c r="A6" t="s">
        <v>39</v>
      </c>
      <c r="B6" t="s">
        <v>50</v>
      </c>
      <c r="C6" s="3">
        <v>2000</v>
      </c>
      <c r="D6" s="3">
        <f ca="1">SUMIFS(operations[Amount],operations[Bank],raports_11[[#This Row],[Bank]],operations[Product],raports_11[[#This Row],[Product]],operations[Month],$B$12)</f>
        <v>0</v>
      </c>
      <c r="E6" s="3">
        <f ca="1">raports_11[[#This Row],[Opening balance]]+raports_11[[#This Row],[Operation]]</f>
        <v>2000</v>
      </c>
      <c r="G6" t="s">
        <v>52</v>
      </c>
      <c r="H6" s="2">
        <f ca="1">SUMIFS(operations[Amount],operations[Category],Expenses11[[#This Row],[Category]],operations[Month],'1'!$B$12)</f>
        <v>-100</v>
      </c>
      <c r="J6" t="s">
        <v>59</v>
      </c>
      <c r="K6" s="3">
        <f ca="1">SUMIFS(operations[Amount],operations[Category],Table9162832364044485256[[#This Row],[Category]],operations[Month],'1'!$B$12)</f>
        <v>105.5</v>
      </c>
      <c r="N6" t="s">
        <v>42</v>
      </c>
    </row>
    <row r="7" spans="1:14">
      <c r="A7" t="s">
        <v>40</v>
      </c>
      <c r="B7" t="s">
        <v>44</v>
      </c>
      <c r="C7" s="3">
        <v>200</v>
      </c>
      <c r="D7" s="3">
        <f ca="1">SUMIFS(operations[Amount],operations[Bank],raports_11[[#This Row],[Bank]],operations[Product],raports_11[[#This Row],[Product]],operations[Month],$B$12)</f>
        <v>0</v>
      </c>
      <c r="E7" s="3">
        <f ca="1">raports_11[[#This Row],[Opening balance]]+raports_11[[#This Row],[Operation]]</f>
        <v>200</v>
      </c>
      <c r="G7" t="s">
        <v>53</v>
      </c>
      <c r="H7" s="2">
        <f ca="1">SUMIFS(operations[Amount],operations[Category],Expenses11[[#This Row],[Category]],operations[Month],'1'!$B$12)</f>
        <v>-150</v>
      </c>
      <c r="J7" t="s">
        <v>60</v>
      </c>
      <c r="K7" s="3">
        <f ca="1">SUMIFS(operations[Amount],operations[Category],Table9162832364044485256[[#This Row],[Category]],operations[Month],'1'!$B$12)</f>
        <v>0</v>
      </c>
      <c r="N7" t="s">
        <v>42</v>
      </c>
    </row>
    <row r="8" spans="1:14">
      <c r="A8" t="s">
        <v>40</v>
      </c>
      <c r="B8" t="s">
        <v>48</v>
      </c>
      <c r="C8" s="3">
        <v>30</v>
      </c>
      <c r="D8" s="3">
        <f ca="1">SUMIFS(operations[Amount],operations[Bank],raports_11[[#This Row],[Bank]],operations[Product],raports_11[[#This Row],[Product]],operations[Month],$B$12)</f>
        <v>400</v>
      </c>
      <c r="E8" s="3">
        <f ca="1">raports_11[[#This Row],[Opening balance]]+raports_11[[#This Row],[Operation]]</f>
        <v>430</v>
      </c>
      <c r="G8" t="s">
        <v>71</v>
      </c>
      <c r="H8" s="3">
        <f ca="1">SUBTOTAL(109,Expenses11[Total])</f>
        <v>-4130</v>
      </c>
      <c r="J8" t="s">
        <v>61</v>
      </c>
      <c r="K8" s="3">
        <f ca="1">SUMIFS(operations[Amount],operations[Category],Table9162832364044485256[[#This Row],[Category]],operations[Month],'1'!$B$12)</f>
        <v>800</v>
      </c>
      <c r="N8" t="s">
        <v>42</v>
      </c>
    </row>
    <row r="9" spans="1:14">
      <c r="A9" s="3" t="s">
        <v>71</v>
      </c>
      <c r="B9" s="3"/>
      <c r="C9" s="3" t="e">
        <f ca="1">SUBTOTAL(109,raports_11[Opening balance])</f>
        <v>#REF!</v>
      </c>
      <c r="D9" s="3">
        <f ca="1">SUBTOTAL(109,raports_11[Operation])</f>
        <v>1400</v>
      </c>
      <c r="E9" s="3" t="e">
        <f ca="1">SUBTOTAL(109,raports_11[Closing balance])</f>
        <v>#REF!</v>
      </c>
      <c r="J9" t="s">
        <v>62</v>
      </c>
      <c r="K9" s="3">
        <f ca="1">SUMIFS(operations[Amount],operations[Category],Table9162832364044485256[[#This Row],[Category]],operations[Month],'1'!$B$12)</f>
        <v>4500</v>
      </c>
      <c r="N9" t="s">
        <v>42</v>
      </c>
    </row>
    <row r="10" spans="10:14">
      <c r="J10" t="s">
        <v>63</v>
      </c>
      <c r="K10" s="3">
        <f ca="1">SUMIFS(operations[Amount],operations[Category],Table9162832364044485256[[#This Row],[Category]],operations[Month],'1'!$B$12)</f>
        <v>0</v>
      </c>
      <c r="N10" t="s">
        <v>42</v>
      </c>
    </row>
    <row r="11" spans="10:14">
      <c r="J11" t="s">
        <v>64</v>
      </c>
      <c r="K11" s="3">
        <f ca="1">SUMIFS(operations[Amount],operations[Category],Table9162832364044485256[[#This Row],[Category]],operations[Month],'1'!$B$12)</f>
        <v>0</v>
      </c>
      <c r="N11" t="s">
        <v>58</v>
      </c>
    </row>
    <row r="12" spans="1:14">
      <c r="A12" t="s">
        <v>67</v>
      </c>
      <c r="B12" t="str" cm="1">
        <f ca="1" t="array" ref="B12">_xlfn.TEXTAFTER(CELL("filename",A1),"]")</f>
        <v>11</v>
      </c>
      <c r="J12" t="s">
        <v>71</v>
      </c>
      <c r="K12" s="3">
        <f ca="1">SUBTOTAL(109,Table9162832364044485256[Total])</f>
        <v>5475.5</v>
      </c>
      <c r="N12" t="s">
        <v>58</v>
      </c>
    </row>
    <row r="13" spans="7:14">
      <c r="G13" t="s">
        <v>72</v>
      </c>
      <c r="N13" t="s">
        <v>58</v>
      </c>
    </row>
    <row r="14" spans="1:14">
      <c r="A14" t="s">
        <v>36</v>
      </c>
      <c r="B14" t="s">
        <v>71</v>
      </c>
      <c r="N14" t="s">
        <v>58</v>
      </c>
    </row>
    <row r="15" spans="1:14">
      <c r="A15" t="s">
        <v>58</v>
      </c>
      <c r="B15" s="3">
        <f ca="1">SUMIFS(operations[Amount],operations[Type],balance_11[[#This Row],[Type]],operations[Month],'1'!$B$12)</f>
        <v>5655.5</v>
      </c>
      <c r="N15" t="s">
        <v>58</v>
      </c>
    </row>
    <row r="16" spans="1:14">
      <c r="A16" t="s">
        <v>42</v>
      </c>
      <c r="B16" s="3">
        <f ca="1">SUMIFS(operations[Amount],operations[Type],balance_11[[#This Row],[Type]],operations[Month],'1'!$B$12)</f>
        <v>-4810</v>
      </c>
      <c r="N16" t="s">
        <v>58</v>
      </c>
    </row>
    <row r="17" spans="1:14">
      <c r="A17" t="s">
        <v>64</v>
      </c>
      <c r="B17" s="3">
        <f ca="1">SUMIFS(operations[Amount],operations[Type],balance_11[[#This Row],[Type]],operations[Month],'1'!$B$12)</f>
        <v>0</v>
      </c>
      <c r="N17" t="s">
        <v>64</v>
      </c>
    </row>
    <row r="18" spans="1:2">
      <c r="A18" t="s">
        <v>71</v>
      </c>
      <c r="B18" s="3">
        <f ca="1">SUBTOTAL(109,balance_11[Total])</f>
        <v>845.5</v>
      </c>
    </row>
  </sheetData>
  <pageMargins left="0.7" right="0.7" top="0.75" bottom="0.75" header="0.3" footer="0.3"/>
  <headerFooter/>
  <tableParts count="4">
    <tablePart r:id="rId1"/>
    <tablePart r:id="rId2"/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C2" sqref="C2"/>
    </sheetView>
  </sheetViews>
  <sheetFormatPr defaultColWidth="9" defaultRowHeight="14.4"/>
  <cols>
    <col min="2" max="2" width="18.3333333333333" customWidth="1"/>
    <col min="3" max="3" width="18" customWidth="1"/>
    <col min="4" max="4" width="12.1111111111111" customWidth="1"/>
    <col min="5" max="5" width="16.8888888888889" customWidth="1"/>
    <col min="7" max="7" width="15.1111111111111" customWidth="1"/>
    <col min="8" max="8" width="11.4444444444444" customWidth="1"/>
    <col min="10" max="10" width="15.1111111111111" customWidth="1"/>
    <col min="11" max="11" width="11.4444444444444" customWidth="1"/>
  </cols>
  <sheetData>
    <row r="1" spans="1:14">
      <c r="A1" t="s">
        <v>1</v>
      </c>
      <c r="B1" t="s">
        <v>37</v>
      </c>
      <c r="C1" t="s">
        <v>68</v>
      </c>
      <c r="D1" t="s">
        <v>69</v>
      </c>
      <c r="E1" t="s">
        <v>70</v>
      </c>
      <c r="G1" t="s">
        <v>35</v>
      </c>
      <c r="H1" s="2" t="s">
        <v>71</v>
      </c>
      <c r="J1" t="s">
        <v>35</v>
      </c>
      <c r="K1" t="s">
        <v>71</v>
      </c>
      <c r="N1" t="s">
        <v>36</v>
      </c>
    </row>
    <row r="2" spans="1:14">
      <c r="A2" t="s">
        <v>38</v>
      </c>
      <c r="B2" t="s">
        <v>43</v>
      </c>
      <c r="C2" s="3" t="e" cm="1">
        <f ca="1" t="array" ref="C2">INDIRECT("raport_"&amp;$B$12-1&amp;"[@[Closing balance ]]")</f>
        <v>#REF!</v>
      </c>
      <c r="D2" s="3">
        <f ca="1">SUMIFS(operations[Amount],operations[Bank],raports_12[[#This Row],[Bank]],operations[Product],raports_12[[#This Row],[Product]],operations[Month],$B$12)</f>
        <v>0</v>
      </c>
      <c r="E2" s="3" t="e">
        <f ca="1">raports_12[[#This Row],[Opening balance]]+raports_12[[#This Row],[Operation]]</f>
        <v>#REF!</v>
      </c>
      <c r="G2" t="s">
        <v>41</v>
      </c>
      <c r="H2" s="2">
        <f ca="1">SUMIFS(operations[Amount],operations[Category],Expenses12[[#This Row],[Category]],operations[Month],'1'!$B$12)</f>
        <v>-2000</v>
      </c>
      <c r="J2" t="s">
        <v>54</v>
      </c>
      <c r="K2" s="3"/>
      <c r="N2" t="s">
        <v>42</v>
      </c>
    </row>
    <row r="3" spans="1:14">
      <c r="A3" t="s">
        <v>38</v>
      </c>
      <c r="B3" t="s">
        <v>46</v>
      </c>
      <c r="C3" s="3">
        <v>10.5</v>
      </c>
      <c r="D3" s="3">
        <f ca="1">SUMIFS(operations[Amount],operations[Bank],raports_12[[#This Row],[Bank]],operations[Product],raports_12[[#This Row],[Product]],operations[Month],$B$12)</f>
        <v>0</v>
      </c>
      <c r="E3" s="3">
        <f ca="1">raports_12[[#This Row],[Opening balance]]+raports_12[[#This Row],[Operation]]</f>
        <v>10.5</v>
      </c>
      <c r="G3" t="s">
        <v>45</v>
      </c>
      <c r="H3" s="2">
        <f ca="1">SUMIFS(operations[Amount],operations[Category],Expenses12[[#This Row],[Category]],operations[Month],'1'!$B$12)</f>
        <v>-80</v>
      </c>
      <c r="J3" t="s">
        <v>55</v>
      </c>
      <c r="K3" s="3">
        <f ca="1">SUMIFS(operations[Amount],operations[Category],Table916283236404448525660[[#This Row],[Category]],operations[Month],'1'!$B$12)</f>
        <v>-100</v>
      </c>
      <c r="N3" t="s">
        <v>42</v>
      </c>
    </row>
    <row r="4" spans="1:14">
      <c r="A4" t="s">
        <v>39</v>
      </c>
      <c r="B4" t="s">
        <v>43</v>
      </c>
      <c r="C4" s="3">
        <v>600</v>
      </c>
      <c r="D4" s="3">
        <f ca="1">SUMIFS(operations[Amount],operations[Bank],raports_12[[#This Row],[Bank]],operations[Product],raports_12[[#This Row],[Product]],operations[Month],$B$12)</f>
        <v>1320</v>
      </c>
      <c r="E4" s="3">
        <f ca="1">raports_12[[#This Row],[Opening balance]]+raports_12[[#This Row],[Operation]]</f>
        <v>1920</v>
      </c>
      <c r="G4" t="s">
        <v>49</v>
      </c>
      <c r="H4" s="2">
        <f ca="1">SUMIFS(operations[Amount],operations[Category],Expenses12[[#This Row],[Category]],operations[Month],'1'!$B$12)</f>
        <v>-85</v>
      </c>
      <c r="J4" t="s">
        <v>56</v>
      </c>
      <c r="K4" s="3">
        <f ca="1">SUMIFS(operations[Amount],operations[Category],Table916283236404448525660[[#This Row],[Category]],operations[Month],'1'!$B$12)</f>
        <v>-80</v>
      </c>
      <c r="N4" t="s">
        <v>42</v>
      </c>
    </row>
    <row r="5" spans="1:14">
      <c r="A5" t="s">
        <v>39</v>
      </c>
      <c r="B5" t="s">
        <v>47</v>
      </c>
      <c r="C5" s="3">
        <v>0</v>
      </c>
      <c r="D5" s="3">
        <f ca="1">SUMIFS(operations[Amount],operations[Bank],raports_12[[#This Row],[Bank]],operations[Product],raports_12[[#This Row],[Product]],operations[Month],$B$12)</f>
        <v>0</v>
      </c>
      <c r="E5" s="3">
        <f ca="1">raports_12[[#This Row],[Opening balance]]+raports_12[[#This Row],[Operation]]</f>
        <v>0</v>
      </c>
      <c r="G5" t="s">
        <v>51</v>
      </c>
      <c r="H5" s="2">
        <f ca="1">SUMIFS(operations[Amount],operations[Category],Expenses12[[#This Row],[Category]],operations[Month],'1'!$B$12)</f>
        <v>-1715</v>
      </c>
      <c r="J5" t="s">
        <v>57</v>
      </c>
      <c r="K5" s="3">
        <f ca="1">SUMIFS(operations[Amount],operations[Category],Table916283236404448525660[[#This Row],[Category]],operations[Month],'1'!$B$12)</f>
        <v>250</v>
      </c>
      <c r="N5" t="s">
        <v>42</v>
      </c>
    </row>
    <row r="6" spans="1:14">
      <c r="A6" t="s">
        <v>39</v>
      </c>
      <c r="B6" t="s">
        <v>50</v>
      </c>
      <c r="C6" s="3">
        <v>2000</v>
      </c>
      <c r="D6" s="3">
        <f ca="1">SUMIFS(operations[Amount],operations[Bank],raports_12[[#This Row],[Bank]],operations[Product],raports_12[[#This Row],[Product]],operations[Month],$B$12)</f>
        <v>0</v>
      </c>
      <c r="E6" s="3">
        <f ca="1">raports_12[[#This Row],[Opening balance]]+raports_12[[#This Row],[Operation]]</f>
        <v>2000</v>
      </c>
      <c r="G6" t="s">
        <v>52</v>
      </c>
      <c r="H6" s="2">
        <f ca="1">SUMIFS(operations[Amount],operations[Category],Expenses12[[#This Row],[Category]],operations[Month],'1'!$B$12)</f>
        <v>-100</v>
      </c>
      <c r="J6" t="s">
        <v>59</v>
      </c>
      <c r="K6" s="3">
        <f ca="1">SUMIFS(operations[Amount],operations[Category],Table916283236404448525660[[#This Row],[Category]],operations[Month],'1'!$B$12)</f>
        <v>105.5</v>
      </c>
      <c r="N6" t="s">
        <v>42</v>
      </c>
    </row>
    <row r="7" spans="1:14">
      <c r="A7" t="s">
        <v>40</v>
      </c>
      <c r="B7" t="s">
        <v>44</v>
      </c>
      <c r="C7" s="3">
        <v>200</v>
      </c>
      <c r="D7" s="3">
        <f ca="1">SUMIFS(operations[Amount],operations[Bank],raports_12[[#This Row],[Bank]],operations[Product],raports_12[[#This Row],[Product]],operations[Month],$B$12)</f>
        <v>0</v>
      </c>
      <c r="E7" s="3">
        <f ca="1">raports_12[[#This Row],[Opening balance]]+raports_12[[#This Row],[Operation]]</f>
        <v>200</v>
      </c>
      <c r="G7" t="s">
        <v>53</v>
      </c>
      <c r="H7" s="2">
        <f ca="1">SUMIFS(operations[Amount],operations[Category],Expenses12[[#This Row],[Category]],operations[Month],'1'!$B$12)</f>
        <v>-150</v>
      </c>
      <c r="J7" t="s">
        <v>60</v>
      </c>
      <c r="K7" s="3">
        <f ca="1">SUMIFS(operations[Amount],operations[Category],Table916283236404448525660[[#This Row],[Category]],operations[Month],'1'!$B$12)</f>
        <v>0</v>
      </c>
      <c r="N7" t="s">
        <v>42</v>
      </c>
    </row>
    <row r="8" spans="1:14">
      <c r="A8" t="s">
        <v>40</v>
      </c>
      <c r="B8" t="s">
        <v>48</v>
      </c>
      <c r="C8" s="3">
        <v>30</v>
      </c>
      <c r="D8" s="3">
        <f ca="1">SUMIFS(operations[Amount],operations[Bank],raports_12[[#This Row],[Bank]],operations[Product],raports_12[[#This Row],[Product]],operations[Month],$B$12)</f>
        <v>1100</v>
      </c>
      <c r="E8" s="3">
        <f ca="1">raports_12[[#This Row],[Opening balance]]+raports_12[[#This Row],[Operation]]</f>
        <v>1130</v>
      </c>
      <c r="G8" t="s">
        <v>71</v>
      </c>
      <c r="H8" s="3">
        <f ca="1">SUBTOTAL(109,Expenses12[Total])</f>
        <v>-4130</v>
      </c>
      <c r="J8" t="s">
        <v>61</v>
      </c>
      <c r="K8" s="3">
        <f ca="1">SUMIFS(operations[Amount],operations[Category],Table916283236404448525660[[#This Row],[Category]],operations[Month],'1'!$B$12)</f>
        <v>800</v>
      </c>
      <c r="N8" t="s">
        <v>42</v>
      </c>
    </row>
    <row r="9" spans="1:14">
      <c r="A9" s="3" t="s">
        <v>71</v>
      </c>
      <c r="B9" s="3"/>
      <c r="C9" s="3" t="e">
        <f ca="1">SUBTOTAL(109,raports_12[Opening balance])</f>
        <v>#REF!</v>
      </c>
      <c r="D9" s="3">
        <f ca="1">SUBTOTAL(109,raports_12[Operation])</f>
        <v>2420</v>
      </c>
      <c r="E9" s="3" t="e">
        <f ca="1">SUBTOTAL(109,raports_12[Closing balance])</f>
        <v>#REF!</v>
      </c>
      <c r="J9" t="s">
        <v>62</v>
      </c>
      <c r="K9" s="3">
        <f ca="1">SUMIFS(operations[Amount],operations[Category],Table916283236404448525660[[#This Row],[Category]],operations[Month],'1'!$B$12)</f>
        <v>4500</v>
      </c>
      <c r="N9" t="s">
        <v>42</v>
      </c>
    </row>
    <row r="10" spans="10:14">
      <c r="J10" t="s">
        <v>63</v>
      </c>
      <c r="K10" s="3">
        <f ca="1">SUMIFS(operations[Amount],operations[Category],Table916283236404448525660[[#This Row],[Category]],operations[Month],'1'!$B$12)</f>
        <v>0</v>
      </c>
      <c r="N10" t="s">
        <v>42</v>
      </c>
    </row>
    <row r="11" spans="10:14">
      <c r="J11" t="s">
        <v>64</v>
      </c>
      <c r="K11" s="3">
        <f ca="1">SUMIFS(operations[Amount],operations[Category],Table916283236404448525660[[#This Row],[Category]],operations[Month],'1'!$B$12)</f>
        <v>0</v>
      </c>
      <c r="N11" t="s">
        <v>58</v>
      </c>
    </row>
    <row r="12" spans="1:14">
      <c r="A12" t="s">
        <v>67</v>
      </c>
      <c r="B12" t="str" cm="1">
        <f ca="1" t="array" ref="B12">_xlfn.TEXTAFTER(CELL("filename",A1),"]")</f>
        <v>12</v>
      </c>
      <c r="J12" t="s">
        <v>71</v>
      </c>
      <c r="K12" s="3">
        <f ca="1">SUBTOTAL(109,Table916283236404448525660[Total])</f>
        <v>5475.5</v>
      </c>
      <c r="N12" t="s">
        <v>58</v>
      </c>
    </row>
    <row r="13" spans="7:14">
      <c r="G13" t="s">
        <v>72</v>
      </c>
      <c r="N13" t="s">
        <v>58</v>
      </c>
    </row>
    <row r="14" spans="1:14">
      <c r="A14" t="s">
        <v>36</v>
      </c>
      <c r="B14" t="s">
        <v>71</v>
      </c>
      <c r="N14" t="s">
        <v>58</v>
      </c>
    </row>
    <row r="15" spans="1:14">
      <c r="A15" t="s">
        <v>58</v>
      </c>
      <c r="B15" s="3">
        <f ca="1">SUMIFS(operations[Amount],operations[Type],balance_12[[#This Row],[Type]],operations[Month],'1'!$B$12)</f>
        <v>5655.5</v>
      </c>
      <c r="N15" t="s">
        <v>58</v>
      </c>
    </row>
    <row r="16" spans="1:14">
      <c r="A16" t="s">
        <v>42</v>
      </c>
      <c r="B16" s="3">
        <f ca="1">SUMIFS(operations[Amount],operations[Type],balance_12[[#This Row],[Type]],operations[Month],'1'!$B$12)</f>
        <v>-4810</v>
      </c>
      <c r="N16" t="s">
        <v>58</v>
      </c>
    </row>
    <row r="17" spans="1:14">
      <c r="A17" t="s">
        <v>64</v>
      </c>
      <c r="B17" s="3">
        <f ca="1">SUMIFS(operations[Amount],operations[Type],balance_12[[#This Row],[Type]],operations[Month],'1'!$B$12)</f>
        <v>0</v>
      </c>
      <c r="N17" t="s">
        <v>64</v>
      </c>
    </row>
    <row r="18" spans="1:2">
      <c r="A18" t="s">
        <v>71</v>
      </c>
      <c r="B18" s="3">
        <f ca="1">SUBTOTAL(109,balance_12[Total])</f>
        <v>845.5</v>
      </c>
    </row>
  </sheetData>
  <pageMargins left="0.7" right="0.7" top="0.75" bottom="0.75" header="0.3" footer="0.3"/>
  <headerFooter/>
  <tableParts count="4">
    <tablePart r:id="rId1"/>
    <tablePart r:id="rId2"/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7"/>
  <sheetViews>
    <sheetView tabSelected="1" workbookViewId="0">
      <selection activeCell="N17" sqref="N17"/>
    </sheetView>
  </sheetViews>
  <sheetFormatPr defaultColWidth="8.88888888888889" defaultRowHeight="14.4"/>
  <cols>
    <col min="1" max="1" width="16" customWidth="1"/>
    <col min="2" max="2" width="8.33333333333333" customWidth="1"/>
  </cols>
  <sheetData>
    <row r="1" spans="1:14">
      <c r="A1" s="1" t="s">
        <v>35</v>
      </c>
      <c r="B1" s="1" t="s">
        <v>36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</row>
    <row r="2" spans="1:2">
      <c r="A2" s="1" t="s">
        <v>51</v>
      </c>
      <c r="B2" s="1" t="str">
        <f>_xlfn.XLOOKUP(operations[[#This Row],[Category]],categories[Category],categories[Type],"",0,1)</f>
        <v>Expense</v>
      </c>
    </row>
    <row r="3" spans="1:2">
      <c r="A3" s="1" t="s">
        <v>62</v>
      </c>
      <c r="B3" s="1" t="str">
        <f>_xlfn.XLOOKUP(operations[[#This Row],[Category]],categories[Category],categories[Type],"",0,1)</f>
        <v>Income</v>
      </c>
    </row>
    <row r="4" spans="1:2">
      <c r="A4" s="1" t="s">
        <v>41</v>
      </c>
      <c r="B4" s="1" t="str">
        <f>_xlfn.XLOOKUP(operations[[#This Row],[Category]],categories[Category],categories[Type],"",0,1)</f>
        <v>Expense</v>
      </c>
    </row>
    <row r="5" spans="1:2">
      <c r="A5" s="1" t="s">
        <v>51</v>
      </c>
      <c r="B5" s="1" t="str">
        <f>_xlfn.XLOOKUP(operations[[#This Row],[Category]],categories[Category],categories[Type],"",0,1)</f>
        <v>Expense</v>
      </c>
    </row>
    <row r="6" spans="1:2">
      <c r="A6" s="1" t="s">
        <v>53</v>
      </c>
      <c r="B6" s="1" t="str">
        <f>_xlfn.XLOOKUP(operations[[#This Row],[Category]],categories[Category],categories[Type],"",0,1)</f>
        <v>Expense</v>
      </c>
    </row>
    <row r="7" spans="1:2">
      <c r="A7" s="1" t="s">
        <v>51</v>
      </c>
      <c r="B7" s="1" t="str">
        <f>_xlfn.XLOOKUP(operations[[#This Row],[Category]],categories[Category],categories[Type],"",0,1)</f>
        <v>Expense</v>
      </c>
    </row>
    <row r="8" spans="1:2">
      <c r="A8" s="1" t="s">
        <v>61</v>
      </c>
      <c r="B8" s="1" t="str">
        <f>_xlfn.XLOOKUP(operations[[#This Row],[Category]],categories[Category],categories[Type],"",0,1)</f>
        <v>Income</v>
      </c>
    </row>
    <row r="9" spans="1:2">
      <c r="A9" s="1" t="s">
        <v>54</v>
      </c>
      <c r="B9" s="1" t="str">
        <f>_xlfn.XLOOKUP(operations[[#This Row],[Category]],categories[Category],categories[Type],"",0,1)</f>
        <v>Expense</v>
      </c>
    </row>
    <row r="10" spans="1:2">
      <c r="A10" s="1" t="s">
        <v>57</v>
      </c>
      <c r="B10" s="1" t="str">
        <f>_xlfn.XLOOKUP(operations[[#This Row],[Category]],categories[Category],categories[Type],"",0,1)</f>
        <v>Income</v>
      </c>
    </row>
    <row r="11" spans="1:2">
      <c r="A11" s="1" t="s">
        <v>49</v>
      </c>
      <c r="B11" s="1" t="str">
        <f>_xlfn.XLOOKUP(operations[[#This Row],[Category]],categories[Category],categories[Type],"",0,1)</f>
        <v>Expense</v>
      </c>
    </row>
    <row r="12" spans="1:2">
      <c r="A12" s="1" t="s">
        <v>56</v>
      </c>
      <c r="B12" s="1" t="str">
        <f>_xlfn.XLOOKUP(operations[[#This Row],[Category]],categories[Category],categories[Type],"",0,1)</f>
        <v>Expense</v>
      </c>
    </row>
    <row r="13" spans="1:2">
      <c r="A13" s="1" t="s">
        <v>61</v>
      </c>
      <c r="B13" s="1" t="str">
        <f>_xlfn.XLOOKUP(operations[[#This Row],[Category]],categories[Category],categories[Type],"",0,1)</f>
        <v>Income</v>
      </c>
    </row>
    <row r="14" spans="1:2">
      <c r="A14" s="1" t="s">
        <v>45</v>
      </c>
      <c r="B14" s="1" t="str">
        <f>_xlfn.XLOOKUP(operations[[#This Row],[Category]],categories[Category],categories[Type],"",0,1)</f>
        <v>Expense</v>
      </c>
    </row>
    <row r="15" spans="1:2">
      <c r="A15" s="1" t="s">
        <v>49</v>
      </c>
      <c r="B15" s="1" t="str">
        <f>_xlfn.XLOOKUP(operations[[#This Row],[Category]],categories[Category],categories[Type],"",0,1)</f>
        <v>Expense</v>
      </c>
    </row>
    <row r="16" spans="1:2">
      <c r="A16" s="1" t="s">
        <v>55</v>
      </c>
      <c r="B16" s="1" t="str">
        <f>_xlfn.XLOOKUP(operations[[#This Row],[Category]],categories[Category],categories[Type],"",0,1)</f>
        <v>Expense</v>
      </c>
    </row>
    <row r="17" spans="1:2">
      <c r="A17" s="1" t="s">
        <v>51</v>
      </c>
      <c r="B17" s="1" t="str">
        <f>_xlfn.XLOOKUP(operations[[#This Row],[Category]],categories[Category],categories[Type],"",0,1)</f>
        <v>Expense</v>
      </c>
    </row>
    <row r="18" spans="1:2">
      <c r="A18" s="1" t="s">
        <v>61</v>
      </c>
      <c r="B18" s="1" t="str">
        <f>_xlfn.XLOOKUP(operations[[#This Row],[Category]],categories[Category],categories[Type],"",0,1)</f>
        <v>Income</v>
      </c>
    </row>
    <row r="19" spans="1:2">
      <c r="A19" s="1" t="s">
        <v>59</v>
      </c>
      <c r="B19" s="1" t="str">
        <f>_xlfn.XLOOKUP(operations[[#This Row],[Category]],categories[Category],categories[Type],"",0,1)</f>
        <v>Income</v>
      </c>
    </row>
    <row r="20" spans="1:2">
      <c r="A20" s="1" t="s">
        <v>59</v>
      </c>
      <c r="B20" s="1" t="str">
        <f>_xlfn.XLOOKUP(operations[[#This Row],[Category]],categories[Category],categories[Type],"",0,1)</f>
        <v>Income</v>
      </c>
    </row>
    <row r="21" spans="1:2">
      <c r="A21" s="1" t="s">
        <v>52</v>
      </c>
      <c r="B21" s="1" t="str">
        <f>_xlfn.XLOOKUP(operations[[#This Row],[Category]],categories[Category],categories[Type],"",0,1)</f>
        <v>Expense</v>
      </c>
    </row>
    <row r="22" spans="1:2">
      <c r="A22" s="1" t="s">
        <v>61</v>
      </c>
      <c r="B22" s="1" t="str">
        <f>_xlfn.XLOOKUP(operations[[#This Row],[Category]],categories[Category],categories[Type],"",0,1)</f>
        <v>Income</v>
      </c>
    </row>
    <row r="23" spans="1:2">
      <c r="A23" s="1" t="s">
        <v>54</v>
      </c>
      <c r="B23" s="1" t="str">
        <f>_xlfn.XLOOKUP(operations[[#This Row],[Category]],categories[Category],categories[Type],"",0,1)</f>
        <v>Expense</v>
      </c>
    </row>
    <row r="24" spans="1:2">
      <c r="A24" s="1" t="s">
        <v>51</v>
      </c>
      <c r="B24" s="1" t="str">
        <f>_xlfn.XLOOKUP(operations[[#This Row],[Category]],categories[Category],categories[Type],"",0,1)</f>
        <v>Expense</v>
      </c>
    </row>
    <row r="25" spans="1:2">
      <c r="A25" s="1" t="s">
        <v>62</v>
      </c>
      <c r="B25" s="1" t="str">
        <f>_xlfn.XLOOKUP(operations[[#This Row],[Category]],categories[Category],categories[Type],"",0,1)</f>
        <v>Income</v>
      </c>
    </row>
    <row r="26" spans="1:2">
      <c r="A26" s="1" t="s">
        <v>41</v>
      </c>
      <c r="B26" s="1" t="str">
        <f>_xlfn.XLOOKUP(operations[[#This Row],[Category]],categories[Category],categories[Type],"",0,1)</f>
        <v>Expense</v>
      </c>
    </row>
    <row r="27" spans="1:2">
      <c r="A27" s="1" t="s">
        <v>49</v>
      </c>
      <c r="B27" s="1" t="str">
        <f>_xlfn.XLOOKUP(operations[[#This Row],[Category]],categories[Category],categories[Type],"",0,1)</f>
        <v>Expense</v>
      </c>
    </row>
    <row r="28" spans="1:2">
      <c r="A28" s="1" t="s">
        <v>61</v>
      </c>
      <c r="B28" s="1" t="str">
        <f>_xlfn.XLOOKUP(operations[[#This Row],[Category]],categories[Category],categories[Type],"",0,1)</f>
        <v>Income</v>
      </c>
    </row>
    <row r="29" spans="1:2">
      <c r="A29" s="1" t="s">
        <v>51</v>
      </c>
      <c r="B29" s="1" t="str">
        <f>_xlfn.XLOOKUP(operations[[#This Row],[Category]],categories[Category],categories[Type],"",0,1)</f>
        <v>Expense</v>
      </c>
    </row>
    <row r="30" spans="1:2">
      <c r="A30" s="1" t="s">
        <v>54</v>
      </c>
      <c r="B30" s="1" t="str">
        <f>_xlfn.XLOOKUP(operations[[#This Row],[Category]],categories[Category],categories[Type],"",0,1)</f>
        <v>Expense</v>
      </c>
    </row>
    <row r="31" spans="1:2">
      <c r="A31" s="1" t="s">
        <v>54</v>
      </c>
      <c r="B31" s="1" t="str">
        <f>_xlfn.XLOOKUP(operations[[#This Row],[Category]],categories[Category],categories[Type],"",0,1)</f>
        <v>Expense</v>
      </c>
    </row>
    <row r="32" spans="1:2">
      <c r="A32" s="1" t="s">
        <v>64</v>
      </c>
      <c r="B32" s="1" t="str">
        <f>_xlfn.XLOOKUP(operations[[#This Row],[Category]],categories[Category],categories[Type],"",0,1)</f>
        <v>Transfer</v>
      </c>
    </row>
    <row r="33" spans="1:2">
      <c r="A33" s="1" t="s">
        <v>64</v>
      </c>
      <c r="B33" s="1" t="str">
        <f>_xlfn.XLOOKUP(operations[[#This Row],[Category]],categories[Category],categories[Type],"",0,1)</f>
        <v>Transfer</v>
      </c>
    </row>
    <row r="34" spans="1:2">
      <c r="A34" s="1" t="s">
        <v>55</v>
      </c>
      <c r="B34" s="1" t="str">
        <f>_xlfn.XLOOKUP(operations[[#This Row],[Category]],categories[Category],categories[Type],"",0,1)</f>
        <v>Expense</v>
      </c>
    </row>
    <row r="35" spans="1:2">
      <c r="A35" s="1" t="s">
        <v>56</v>
      </c>
      <c r="B35" s="1" t="str">
        <f>_xlfn.XLOOKUP(operations[[#This Row],[Category]],categories[Category],categories[Type],"",0,1)</f>
        <v>Expense</v>
      </c>
    </row>
    <row r="36" spans="1:2">
      <c r="A36" s="1" t="s">
        <v>61</v>
      </c>
      <c r="B36" s="1" t="str">
        <f>_xlfn.XLOOKUP(operations[[#This Row],[Category]],categories[Category],categories[Type],"",0,1)</f>
        <v>Income</v>
      </c>
    </row>
    <row r="37" spans="1:2">
      <c r="A37" s="1" t="s">
        <v>61</v>
      </c>
      <c r="B37" s="1" t="str">
        <f>_xlfn.XLOOKUP(operations[[#This Row],[Category]],categories[Category],categories[Type],"",0,1)</f>
        <v>Income</v>
      </c>
    </row>
    <row r="38" spans="1:2">
      <c r="A38" s="1" t="s">
        <v>49</v>
      </c>
      <c r="B38" s="1" t="str">
        <f>_xlfn.XLOOKUP(operations[[#This Row],[Category]],categories[Category],categories[Type],"",0,1)</f>
        <v>Expense</v>
      </c>
    </row>
    <row r="39" spans="1:2">
      <c r="A39" s="1" t="s">
        <v>61</v>
      </c>
      <c r="B39" s="1" t="str">
        <f>_xlfn.XLOOKUP(operations[[#This Row],[Category]],categories[Category],categories[Type],"",0,1)</f>
        <v>Income</v>
      </c>
    </row>
    <row r="40" spans="1:2">
      <c r="A40" s="1" t="s">
        <v>52</v>
      </c>
      <c r="B40" s="1" t="str">
        <f>_xlfn.XLOOKUP(operations[[#This Row],[Category]],categories[Category],categories[Type],"",0,1)</f>
        <v>Expense</v>
      </c>
    </row>
    <row r="41" spans="1:2">
      <c r="A41" s="1" t="s">
        <v>51</v>
      </c>
      <c r="B41" s="1" t="str">
        <f>_xlfn.XLOOKUP(operations[[#This Row],[Category]],categories[Category],categories[Type],"",0,1)</f>
        <v>Expense</v>
      </c>
    </row>
    <row r="42" spans="1:2">
      <c r="A42" s="1" t="s">
        <v>54</v>
      </c>
      <c r="B42" s="1" t="str">
        <f>_xlfn.XLOOKUP(operations[[#This Row],[Category]],categories[Category],categories[Type],"",0,1)</f>
        <v>Expense</v>
      </c>
    </row>
    <row r="43" spans="1:2">
      <c r="A43" s="1" t="s">
        <v>59</v>
      </c>
      <c r="B43" s="1" t="str">
        <f>_xlfn.XLOOKUP(operations[[#This Row],[Category]],categories[Category],categories[Type],"",0,1)</f>
        <v>Income</v>
      </c>
    </row>
    <row r="44" spans="1:2">
      <c r="A44" s="1" t="s">
        <v>53</v>
      </c>
      <c r="B44" s="1" t="str">
        <f>_xlfn.XLOOKUP(operations[[#This Row],[Category]],categories[Category],categories[Type],"",0,1)</f>
        <v>Expense</v>
      </c>
    </row>
    <row r="45" spans="1:2">
      <c r="A45" s="1" t="s">
        <v>59</v>
      </c>
      <c r="B45" s="1" t="str">
        <f>_xlfn.XLOOKUP(operations[[#This Row],[Category]],categories[Category],categories[Type],"",0,1)</f>
        <v>Income</v>
      </c>
    </row>
    <row r="46" spans="1:2">
      <c r="A46" s="1" t="s">
        <v>51</v>
      </c>
      <c r="B46" s="1" t="str">
        <f>_xlfn.XLOOKUP(operations[[#This Row],[Category]],categories[Category],categories[Type],"",0,1)</f>
        <v>Expense</v>
      </c>
    </row>
    <row r="47" spans="1:2">
      <c r="A47" s="1" t="s">
        <v>51</v>
      </c>
      <c r="B47" s="1" t="str">
        <f>_xlfn.XLOOKUP(operations[[#This Row],[Category]],categories[Category],categories[Type],"",0,1)</f>
        <v>Expense</v>
      </c>
    </row>
    <row r="48" spans="1:2">
      <c r="A48" s="1" t="s">
        <v>56</v>
      </c>
      <c r="B48" s="1" t="str">
        <f>_xlfn.XLOOKUP(operations[[#This Row],[Category]],categories[Category],categories[Type],"",0,1)</f>
        <v>Expense</v>
      </c>
    </row>
    <row r="49" spans="1:2">
      <c r="A49" s="1" t="s">
        <v>49</v>
      </c>
      <c r="B49" s="1" t="str">
        <f>_xlfn.XLOOKUP(operations[[#This Row],[Category]],categories[Category],categories[Type],"",0,1)</f>
        <v>Expense</v>
      </c>
    </row>
    <row r="50" spans="1:2">
      <c r="A50" s="1" t="s">
        <v>59</v>
      </c>
      <c r="B50" s="1" t="str">
        <f>_xlfn.XLOOKUP(operations[[#This Row],[Category]],categories[Category],categories[Type],"",0,1)</f>
        <v>Income</v>
      </c>
    </row>
    <row r="51" spans="1:2">
      <c r="A51" s="1" t="s">
        <v>51</v>
      </c>
      <c r="B51" s="1" t="str">
        <f>_xlfn.XLOOKUP(operations[[#This Row],[Category]],categories[Category],categories[Type],"",0,1)</f>
        <v>Expense</v>
      </c>
    </row>
    <row r="52" spans="1:2">
      <c r="A52" s="1" t="s">
        <v>62</v>
      </c>
      <c r="B52" s="1" t="str">
        <f>_xlfn.XLOOKUP(operations[[#This Row],[Category]],categories[Category],categories[Type],"",0,1)</f>
        <v>Income</v>
      </c>
    </row>
    <row r="53" spans="1:2">
      <c r="A53" s="1" t="s">
        <v>41</v>
      </c>
      <c r="B53" s="1" t="str">
        <f>_xlfn.XLOOKUP(operations[[#This Row],[Category]],categories[Category],categories[Type],"",0,1)</f>
        <v>Expense</v>
      </c>
    </row>
    <row r="54" spans="1:2">
      <c r="A54" s="1" t="s">
        <v>51</v>
      </c>
      <c r="B54" s="1" t="str">
        <f>_xlfn.XLOOKUP(operations[[#This Row],[Category]],categories[Category],categories[Type],"",0,1)</f>
        <v>Expense</v>
      </c>
    </row>
    <row r="55" spans="1:2">
      <c r="A55" s="1" t="s">
        <v>45</v>
      </c>
      <c r="B55" s="1" t="str">
        <f>_xlfn.XLOOKUP(operations[[#This Row],[Category]],categories[Category],categories[Type],"",0,1)</f>
        <v>Expense</v>
      </c>
    </row>
    <row r="56" spans="1:2">
      <c r="A56" s="1" t="s">
        <v>52</v>
      </c>
      <c r="B56" s="1" t="str">
        <f>_xlfn.XLOOKUP(operations[[#This Row],[Category]],categories[Category],categories[Type],"",0,1)</f>
        <v>Expense</v>
      </c>
    </row>
    <row r="57" spans="1:2">
      <c r="A57" s="1" t="s">
        <v>53</v>
      </c>
      <c r="B57" s="1" t="str">
        <f>_xlfn.XLOOKUP(operations[[#This Row],[Category]],categories[Category],categories[Type],"",0,1)</f>
        <v>Expense</v>
      </c>
    </row>
    <row r="58" spans="1:2">
      <c r="A58" s="1" t="s">
        <v>51</v>
      </c>
      <c r="B58" s="1" t="str">
        <f>_xlfn.XLOOKUP(operations[[#This Row],[Category]],categories[Category],categories[Type],"",0,1)</f>
        <v>Expense</v>
      </c>
    </row>
    <row r="59" spans="1:2">
      <c r="A59" s="1" t="s">
        <v>54</v>
      </c>
      <c r="B59" s="1" t="str">
        <f>_xlfn.XLOOKUP(operations[[#This Row],[Category]],categories[Category],categories[Type],"",0,1)</f>
        <v>Expense</v>
      </c>
    </row>
    <row r="60" spans="1:2">
      <c r="A60" s="1" t="s">
        <v>60</v>
      </c>
      <c r="B60" s="1" t="str">
        <f>_xlfn.XLOOKUP(operations[[#This Row],[Category]],categories[Category],categories[Type],"",0,1)</f>
        <v>Income</v>
      </c>
    </row>
    <row r="61" spans="1:2">
      <c r="A61" s="1" t="s">
        <v>55</v>
      </c>
      <c r="B61" s="1" t="str">
        <f>_xlfn.XLOOKUP(operations[[#This Row],[Category]],categories[Category],categories[Type],"",0,1)</f>
        <v>Expense</v>
      </c>
    </row>
    <row r="62" spans="1:2">
      <c r="A62" s="1" t="s">
        <v>51</v>
      </c>
      <c r="B62" s="1" t="str">
        <f>_xlfn.XLOOKUP(operations[[#This Row],[Category]],categories[Category],categories[Type],"",0,1)</f>
        <v>Expense</v>
      </c>
    </row>
    <row r="63" spans="1:2">
      <c r="A63" s="1" t="s">
        <v>52</v>
      </c>
      <c r="B63" s="1" t="str">
        <f>_xlfn.XLOOKUP(operations[[#This Row],[Category]],categories[Category],categories[Type],"",0,1)</f>
        <v>Expense</v>
      </c>
    </row>
    <row r="64" spans="1:2">
      <c r="A64" s="1" t="s">
        <v>56</v>
      </c>
      <c r="B64" s="1" t="str">
        <f>_xlfn.XLOOKUP(operations[[#This Row],[Category]],categories[Category],categories[Type],"",0,1)</f>
        <v>Expense</v>
      </c>
    </row>
    <row r="65" spans="1:2">
      <c r="A65" s="1" t="s">
        <v>59</v>
      </c>
      <c r="B65" s="1" t="str">
        <f>_xlfn.XLOOKUP(operations[[#This Row],[Category]],categories[Category],categories[Type],"",0,1)</f>
        <v>Income</v>
      </c>
    </row>
    <row r="66" spans="1:2">
      <c r="A66" s="1" t="s">
        <v>51</v>
      </c>
      <c r="B66" s="1" t="str">
        <f>_xlfn.XLOOKUP(operations[[#This Row],[Category]],categories[Category],categories[Type],"",0,1)</f>
        <v>Expense</v>
      </c>
    </row>
    <row r="67" spans="1:2">
      <c r="A67" s="1" t="s">
        <v>62</v>
      </c>
      <c r="B67" s="1" t="str">
        <f>_xlfn.XLOOKUP(operations[[#This Row],[Category]],categories[Category],categories[Type],"",0,1)</f>
        <v>Income</v>
      </c>
    </row>
    <row r="68" spans="1:2">
      <c r="A68" s="1" t="s">
        <v>41</v>
      </c>
      <c r="B68" s="1" t="str">
        <f>_xlfn.XLOOKUP(operations[[#This Row],[Category]],categories[Category],categories[Type],"",0,1)</f>
        <v>Expense</v>
      </c>
    </row>
    <row r="69" spans="1:2">
      <c r="A69" s="1" t="s">
        <v>45</v>
      </c>
      <c r="B69" s="1" t="str">
        <f>_xlfn.XLOOKUP(operations[[#This Row],[Category]],categories[Category],categories[Type],"",0,1)</f>
        <v>Expense</v>
      </c>
    </row>
    <row r="70" spans="1:2">
      <c r="A70" s="1" t="s">
        <v>64</v>
      </c>
      <c r="B70" s="1" t="str">
        <f>_xlfn.XLOOKUP(operations[[#This Row],[Category]],categories[Category],categories[Type],"",0,1)</f>
        <v>Transfer</v>
      </c>
    </row>
    <row r="71" spans="1:2">
      <c r="A71" s="1" t="s">
        <v>64</v>
      </c>
      <c r="B71" s="1" t="str">
        <f>_xlfn.XLOOKUP(operations[[#This Row],[Category]],categories[Category],categories[Type],"",0,1)</f>
        <v>Transfer</v>
      </c>
    </row>
    <row r="72" spans="1:2">
      <c r="A72" s="1" t="s">
        <v>53</v>
      </c>
      <c r="B72" s="1" t="str">
        <f>_xlfn.XLOOKUP(operations[[#This Row],[Category]],categories[Category],categories[Type],"",0,1)</f>
        <v>Expense</v>
      </c>
    </row>
    <row r="73" spans="1:2">
      <c r="A73" s="1" t="s">
        <v>51</v>
      </c>
      <c r="B73" s="1" t="str">
        <f>_xlfn.XLOOKUP(operations[[#This Row],[Category]],categories[Category],categories[Type],"",0,1)</f>
        <v>Expense</v>
      </c>
    </row>
    <row r="74" spans="1:2">
      <c r="A74" s="1" t="s">
        <v>54</v>
      </c>
      <c r="B74" s="1" t="str">
        <f>_xlfn.XLOOKUP(operations[[#This Row],[Category]],categories[Category],categories[Type],"",0,1)</f>
        <v>Expense</v>
      </c>
    </row>
    <row r="75" spans="1:2">
      <c r="A75" s="1" t="s">
        <v>49</v>
      </c>
      <c r="B75" s="1" t="str">
        <f>_xlfn.XLOOKUP(operations[[#This Row],[Category]],categories[Category],categories[Type],"",0,1)</f>
        <v>Expense</v>
      </c>
    </row>
    <row r="76" spans="1:2">
      <c r="A76" s="1" t="s">
        <v>51</v>
      </c>
      <c r="B76" s="1" t="str">
        <f>_xlfn.XLOOKUP(operations[[#This Row],[Category]],categories[Category],categories[Type],"",0,1)</f>
        <v>Expense</v>
      </c>
    </row>
    <row r="77" spans="1:2">
      <c r="A77" s="1" t="s">
        <v>49</v>
      </c>
      <c r="B77" s="1" t="str">
        <f>_xlfn.XLOOKUP(operations[[#This Row],[Category]],categories[Category],categories[Type],"",0,1)</f>
        <v>Expense</v>
      </c>
    </row>
    <row r="78" spans="1:2">
      <c r="A78" s="1" t="s">
        <v>60</v>
      </c>
      <c r="B78" s="1" t="str">
        <f>_xlfn.XLOOKUP(operations[[#This Row],[Category]],categories[Category],categories[Type],"",0,1)</f>
        <v>Income</v>
      </c>
    </row>
    <row r="79" spans="1:2">
      <c r="A79" s="1" t="s">
        <v>51</v>
      </c>
      <c r="B79" s="1" t="str">
        <f>_xlfn.XLOOKUP(operations[[#This Row],[Category]],categories[Category],categories[Type],"",0,1)</f>
        <v>Expense</v>
      </c>
    </row>
    <row r="80" spans="1:2">
      <c r="A80" s="1" t="s">
        <v>51</v>
      </c>
      <c r="B80" s="1" t="str">
        <f>_xlfn.XLOOKUP(operations[[#This Row],[Category]],categories[Category],categories[Type],"",0,1)</f>
        <v>Expense</v>
      </c>
    </row>
    <row r="81" spans="1:2">
      <c r="A81" s="1" t="s">
        <v>55</v>
      </c>
      <c r="B81" s="1" t="str">
        <f>_xlfn.XLOOKUP(operations[[#This Row],[Category]],categories[Category],categories[Type],"",0,1)</f>
        <v>Expense</v>
      </c>
    </row>
    <row r="82" spans="1:2">
      <c r="A82" s="1" t="s">
        <v>51</v>
      </c>
      <c r="B82" s="1" t="str">
        <f>_xlfn.XLOOKUP(operations[[#This Row],[Category]],categories[Category],categories[Type],"",0,1)</f>
        <v>Expense</v>
      </c>
    </row>
    <row r="83" spans="1:2">
      <c r="A83" s="1" t="s">
        <v>56</v>
      </c>
      <c r="B83" s="1" t="str">
        <f>_xlfn.XLOOKUP(operations[[#This Row],[Category]],categories[Category],categories[Type],"",0,1)</f>
        <v>Expense</v>
      </c>
    </row>
    <row r="84" spans="1:2">
      <c r="A84" s="1" t="s">
        <v>62</v>
      </c>
      <c r="B84" s="1" t="str">
        <f>_xlfn.XLOOKUP(operations[[#This Row],[Category]],categories[Category],categories[Type],"",0,1)</f>
        <v>Income</v>
      </c>
    </row>
    <row r="85" spans="1:2">
      <c r="A85" s="1" t="s">
        <v>41</v>
      </c>
      <c r="B85" s="1" t="str">
        <f>_xlfn.XLOOKUP(operations[[#This Row],[Category]],categories[Category],categories[Type],"",0,1)</f>
        <v>Expense</v>
      </c>
    </row>
    <row r="86" spans="1:2">
      <c r="A86" s="1" t="s">
        <v>51</v>
      </c>
      <c r="B86" s="1" t="str">
        <f>_xlfn.XLOOKUP(operations[[#This Row],[Category]],categories[Category],categories[Type],"",0,1)</f>
        <v>Expense</v>
      </c>
    </row>
    <row r="87" spans="1:2">
      <c r="A87" s="1" t="s">
        <v>64</v>
      </c>
      <c r="B87" s="1" t="str">
        <f>_xlfn.XLOOKUP(operations[[#This Row],[Category]],categories[Category],categories[Type],"",0,1)</f>
        <v>Transfer</v>
      </c>
    </row>
    <row r="88" spans="1:2">
      <c r="A88" s="1" t="s">
        <v>64</v>
      </c>
      <c r="B88" s="1" t="str">
        <f>_xlfn.XLOOKUP(operations[[#This Row],[Category]],categories[Category],categories[Type],"",0,1)</f>
        <v>Transfer</v>
      </c>
    </row>
    <row r="89" spans="1:2">
      <c r="A89" s="1" t="s">
        <v>51</v>
      </c>
      <c r="B89" s="1" t="str">
        <f>_xlfn.XLOOKUP(operations[[#This Row],[Category]],categories[Category],categories[Type],"",0,1)</f>
        <v>Expense</v>
      </c>
    </row>
    <row r="90" spans="1:2">
      <c r="A90" s="1" t="s">
        <v>51</v>
      </c>
      <c r="B90" s="1" t="str">
        <f>_xlfn.XLOOKUP(operations[[#This Row],[Category]],categories[Category],categories[Type],"",0,1)</f>
        <v>Expense</v>
      </c>
    </row>
    <row r="91" spans="1:2">
      <c r="A91" s="1" t="s">
        <v>53</v>
      </c>
      <c r="B91" s="1" t="str">
        <f>_xlfn.XLOOKUP(operations[[#This Row],[Category]],categories[Category],categories[Type],"",0,1)</f>
        <v>Expense</v>
      </c>
    </row>
    <row r="92" spans="1:2">
      <c r="A92" s="1" t="s">
        <v>49</v>
      </c>
      <c r="B92" s="1" t="str">
        <f>_xlfn.XLOOKUP(operations[[#This Row],[Category]],categories[Category],categories[Type],"",0,1)</f>
        <v>Expense</v>
      </c>
    </row>
    <row r="93" spans="1:2">
      <c r="A93" s="1" t="s">
        <v>51</v>
      </c>
      <c r="B93" s="1" t="str">
        <f>_xlfn.XLOOKUP(operations[[#This Row],[Category]],categories[Category],categories[Type],"",0,1)</f>
        <v>Expense</v>
      </c>
    </row>
    <row r="94" spans="1:2">
      <c r="A94" s="1" t="s">
        <v>56</v>
      </c>
      <c r="B94" s="1" t="str">
        <f>_xlfn.XLOOKUP(operations[[#This Row],[Category]],categories[Category],categories[Type],"",0,1)</f>
        <v>Expense</v>
      </c>
    </row>
    <row r="95" spans="1:2">
      <c r="A95" s="1" t="s">
        <v>62</v>
      </c>
      <c r="B95" s="1" t="str">
        <f>_xlfn.XLOOKUP(operations[[#This Row],[Category]],categories[Category],categories[Type],"",0,1)</f>
        <v>Income</v>
      </c>
    </row>
    <row r="96" spans="1:2">
      <c r="A96" s="1" t="s">
        <v>41</v>
      </c>
      <c r="B96" s="1" t="str">
        <f>_xlfn.XLOOKUP(operations[[#This Row],[Category]],categories[Category],categories[Type],"",0,1)</f>
        <v>Expense</v>
      </c>
    </row>
    <row r="97" spans="1:2">
      <c r="A97" s="1" t="s">
        <v>51</v>
      </c>
      <c r="B97" s="1" t="str">
        <f>_xlfn.XLOOKUP(operations[[#This Row],[Category]],categories[Category],categories[Type],"",0,1)</f>
        <v>Expense</v>
      </c>
    </row>
    <row r="98" spans="1:2">
      <c r="A98" s="1" t="s">
        <v>64</v>
      </c>
      <c r="B98" s="1" t="str">
        <f>_xlfn.XLOOKUP(operations[[#This Row],[Category]],categories[Category],categories[Type],"",0,1)</f>
        <v>Transfer</v>
      </c>
    </row>
    <row r="99" spans="1:2">
      <c r="A99" s="1" t="s">
        <v>64</v>
      </c>
      <c r="B99" s="1" t="str">
        <f>_xlfn.XLOOKUP(operations[[#This Row],[Category]],categories[Category],categories[Type],"",0,1)</f>
        <v>Transfer</v>
      </c>
    </row>
    <row r="100" spans="1:2">
      <c r="A100" s="1" t="s">
        <v>52</v>
      </c>
      <c r="B100" s="1" t="str">
        <f>_xlfn.XLOOKUP(operations[[#This Row],[Category]],categories[Category],categories[Type],"",0,1)</f>
        <v>Expense</v>
      </c>
    </row>
    <row r="101" spans="1:2">
      <c r="A101" s="1" t="s">
        <v>51</v>
      </c>
      <c r="B101" s="1" t="str">
        <f>_xlfn.XLOOKUP(operations[[#This Row],[Category]],categories[Category],categories[Type],"",0,1)</f>
        <v>Expense</v>
      </c>
    </row>
    <row r="102" spans="1:2">
      <c r="A102" s="1" t="s">
        <v>51</v>
      </c>
      <c r="B102" s="1" t="str">
        <f>_xlfn.XLOOKUP(operations[[#This Row],[Category]],categories[Category],categories[Type],"",0,1)</f>
        <v>Expense</v>
      </c>
    </row>
    <row r="103" spans="1:2">
      <c r="A103" s="1" t="s">
        <v>45</v>
      </c>
      <c r="B103" s="1" t="str">
        <f>_xlfn.XLOOKUP(operations[[#This Row],[Category]],categories[Category],categories[Type],"",0,1)</f>
        <v>Expense</v>
      </c>
    </row>
    <row r="104" spans="1:2">
      <c r="A104" s="1" t="s">
        <v>53</v>
      </c>
      <c r="B104" s="1" t="str">
        <f>_xlfn.XLOOKUP(operations[[#This Row],[Category]],categories[Category],categories[Type],"",0,1)</f>
        <v>Expense</v>
      </c>
    </row>
    <row r="105" spans="1:2">
      <c r="A105" s="1" t="s">
        <v>57</v>
      </c>
      <c r="B105" s="1" t="str">
        <f>_xlfn.XLOOKUP(operations[[#This Row],[Category]],categories[Category],categories[Type],"",0,1)</f>
        <v>Income</v>
      </c>
    </row>
    <row r="106" spans="1:2">
      <c r="A106" s="1" t="s">
        <v>49</v>
      </c>
      <c r="B106" s="1" t="str">
        <f>_xlfn.XLOOKUP(operations[[#This Row],[Category]],categories[Category],categories[Type],"",0,1)</f>
        <v>Expense</v>
      </c>
    </row>
    <row r="107" spans="1:2">
      <c r="A107" s="1" t="s">
        <v>51</v>
      </c>
      <c r="B107" s="1" t="str">
        <f>_xlfn.XLOOKUP(operations[[#This Row],[Category]],categories[Category],categories[Type],"",0,1)</f>
        <v>Expense</v>
      </c>
    </row>
    <row r="108" spans="1:2">
      <c r="A108" s="1" t="s">
        <v>49</v>
      </c>
      <c r="B108" s="1" t="str">
        <f>_xlfn.XLOOKUP(operations[[#This Row],[Category]],categories[Category],categories[Type],"",0,1)</f>
        <v>Expense</v>
      </c>
    </row>
    <row r="109" spans="1:2">
      <c r="A109" s="1" t="s">
        <v>62</v>
      </c>
      <c r="B109" s="1" t="str">
        <f>_xlfn.XLOOKUP(operations[[#This Row],[Category]],categories[Category],categories[Type],"",0,1)</f>
        <v>Income</v>
      </c>
    </row>
    <row r="110" spans="1:2">
      <c r="A110" s="1" t="s">
        <v>41</v>
      </c>
      <c r="B110" s="1" t="str">
        <f>_xlfn.XLOOKUP(operations[[#This Row],[Category]],categories[Category],categories[Type],"",0,1)</f>
        <v>Expense</v>
      </c>
    </row>
    <row r="111" spans="1:2">
      <c r="A111" s="1" t="s">
        <v>51</v>
      </c>
      <c r="B111" s="1" t="str">
        <f>_xlfn.XLOOKUP(operations[[#This Row],[Category]],categories[Category],categories[Type],"",0,1)</f>
        <v>Expense</v>
      </c>
    </row>
    <row r="112" spans="1:2">
      <c r="A112" s="1" t="s">
        <v>64</v>
      </c>
      <c r="B112" s="1" t="str">
        <f>_xlfn.XLOOKUP(operations[[#This Row],[Category]],categories[Category],categories[Type],"",0,1)</f>
        <v>Transfer</v>
      </c>
    </row>
    <row r="113" spans="1:2">
      <c r="A113" s="1" t="s">
        <v>64</v>
      </c>
      <c r="B113" s="1" t="str">
        <f>_xlfn.XLOOKUP(operations[[#This Row],[Category]],categories[Category],categories[Type],"",0,1)</f>
        <v>Transfer</v>
      </c>
    </row>
    <row r="114" spans="1:2">
      <c r="A114" s="1" t="s">
        <v>52</v>
      </c>
      <c r="B114" s="1" t="str">
        <f>_xlfn.XLOOKUP(operations[[#This Row],[Category]],categories[Category],categories[Type],"",0,1)</f>
        <v>Expense</v>
      </c>
    </row>
    <row r="115" spans="1:2">
      <c r="A115" s="1" t="s">
        <v>60</v>
      </c>
      <c r="B115" s="1" t="str">
        <f>_xlfn.XLOOKUP(operations[[#This Row],[Category]],categories[Category],categories[Type],"",0,1)</f>
        <v>Income</v>
      </c>
    </row>
    <row r="116" spans="1:2">
      <c r="A116" s="1" t="s">
        <v>49</v>
      </c>
      <c r="B116" s="1" t="str">
        <f>_xlfn.XLOOKUP(operations[[#This Row],[Category]],categories[Category],categories[Type],"",0,1)</f>
        <v>Expense</v>
      </c>
    </row>
    <row r="117" spans="1:2">
      <c r="A117" s="1" t="s">
        <v>59</v>
      </c>
      <c r="B117" s="1" t="str">
        <f>_xlfn.XLOOKUP(operations[[#This Row],[Category]],categories[Category],categories[Type],"",0,1)</f>
        <v>Income</v>
      </c>
    </row>
    <row r="118" spans="1:2">
      <c r="A118" s="1" t="s">
        <v>56</v>
      </c>
      <c r="B118" s="1" t="str">
        <f>_xlfn.XLOOKUP(operations[[#This Row],[Category]],categories[Category],categories[Type],"",0,1)</f>
        <v>Expense</v>
      </c>
    </row>
    <row r="119" spans="1:2">
      <c r="A119" s="1" t="s">
        <v>51</v>
      </c>
      <c r="B119" s="1" t="str">
        <f>_xlfn.XLOOKUP(operations[[#This Row],[Category]],categories[Category],categories[Type],"",0,1)</f>
        <v>Expense</v>
      </c>
    </row>
    <row r="120" spans="1:2">
      <c r="A120" s="1" t="s">
        <v>45</v>
      </c>
      <c r="B120" s="1" t="str">
        <f>_xlfn.XLOOKUP(operations[[#This Row],[Category]],categories[Category],categories[Type],"",0,1)</f>
        <v>Expense</v>
      </c>
    </row>
    <row r="121" spans="1:2">
      <c r="A121" s="1" t="s">
        <v>63</v>
      </c>
      <c r="B121" s="1" t="str">
        <f>_xlfn.XLOOKUP(operations[[#This Row],[Category]],categories[Category],categories[Type],"",0,1)</f>
        <v>Income</v>
      </c>
    </row>
    <row r="122" spans="1:2">
      <c r="A122" s="1" t="s">
        <v>51</v>
      </c>
      <c r="B122" s="1" t="str">
        <f>_xlfn.XLOOKUP(operations[[#This Row],[Category]],categories[Category],categories[Type],"",0,1)</f>
        <v>Expense</v>
      </c>
    </row>
    <row r="123" spans="1:2">
      <c r="A123" s="1" t="s">
        <v>51</v>
      </c>
      <c r="B123" s="1" t="str">
        <f>_xlfn.XLOOKUP(operations[[#This Row],[Category]],categories[Category],categories[Type],"",0,1)</f>
        <v>Expense</v>
      </c>
    </row>
    <row r="124" spans="1:2">
      <c r="A124" s="1" t="s">
        <v>64</v>
      </c>
      <c r="B124" s="1" t="str">
        <f>_xlfn.XLOOKUP(operations[[#This Row],[Category]],categories[Category],categories[Type],"",0,1)</f>
        <v>Transfer</v>
      </c>
    </row>
    <row r="125" spans="1:2">
      <c r="A125" s="1" t="s">
        <v>56</v>
      </c>
      <c r="B125" s="1" t="str">
        <f>_xlfn.XLOOKUP(operations[[#This Row],[Category]],categories[Category],categories[Type],"",0,1)</f>
        <v>Expense</v>
      </c>
    </row>
    <row r="126" spans="1:2">
      <c r="A126" s="1" t="s">
        <v>51</v>
      </c>
      <c r="B126" s="1" t="str">
        <f>_xlfn.XLOOKUP(operations[[#This Row],[Category]],categories[Category],categories[Type],"",0,1)</f>
        <v>Expense</v>
      </c>
    </row>
    <row r="127" spans="1:2">
      <c r="A127" s="1" t="s">
        <v>62</v>
      </c>
      <c r="B127" s="1" t="str">
        <f>_xlfn.XLOOKUP(operations[[#This Row],[Category]],categories[Category],categories[Type],"",0,1)</f>
        <v>Income</v>
      </c>
    </row>
    <row r="128" spans="1:2">
      <c r="A128" s="1" t="s">
        <v>41</v>
      </c>
      <c r="B128" s="1" t="str">
        <f>_xlfn.XLOOKUP(operations[[#This Row],[Category]],categories[Category],categories[Type],"",0,1)</f>
        <v>Expense</v>
      </c>
    </row>
    <row r="129" spans="1:2">
      <c r="A129" s="1" t="s">
        <v>49</v>
      </c>
      <c r="B129" s="1" t="str">
        <f>_xlfn.XLOOKUP(operations[[#This Row],[Category]],categories[Category],categories[Type],"",0,1)</f>
        <v>Expense</v>
      </c>
    </row>
    <row r="130" spans="1:2">
      <c r="A130" s="1" t="s">
        <v>64</v>
      </c>
      <c r="B130" s="1" t="str">
        <f>_xlfn.XLOOKUP(operations[[#This Row],[Category]],categories[Category],categories[Type],"",0,1)</f>
        <v>Transfer</v>
      </c>
    </row>
    <row r="131" spans="1:2">
      <c r="A131" s="1" t="s">
        <v>64</v>
      </c>
      <c r="B131" s="1" t="str">
        <f>_xlfn.XLOOKUP(operations[[#This Row],[Category]],categories[Category],categories[Type],"",0,1)</f>
        <v>Transfer</v>
      </c>
    </row>
    <row r="132" spans="1:2">
      <c r="A132" s="1" t="s">
        <v>52</v>
      </c>
      <c r="B132" s="1" t="str">
        <f>_xlfn.XLOOKUP(operations[[#This Row],[Category]],categories[Category],categories[Type],"",0,1)</f>
        <v>Expense</v>
      </c>
    </row>
    <row r="133" spans="1:2">
      <c r="A133" s="1" t="s">
        <v>51</v>
      </c>
      <c r="B133" s="1" t="str">
        <f>_xlfn.XLOOKUP(operations[[#This Row],[Category]],categories[Category],categories[Type],"",0,1)</f>
        <v>Expense</v>
      </c>
    </row>
    <row r="134" spans="1:2">
      <c r="A134" s="1" t="s">
        <v>60</v>
      </c>
      <c r="B134" s="1" t="str">
        <f>_xlfn.XLOOKUP(operations[[#This Row],[Category]],categories[Category],categories[Type],"",0,1)</f>
        <v>Income</v>
      </c>
    </row>
    <row r="135" spans="1:2">
      <c r="A135" s="1" t="s">
        <v>49</v>
      </c>
      <c r="B135" s="1" t="str">
        <f>_xlfn.XLOOKUP(operations[[#This Row],[Category]],categories[Category],categories[Type],"",0,1)</f>
        <v>Expense</v>
      </c>
    </row>
    <row r="136" spans="1:2">
      <c r="A136" s="1" t="s">
        <v>51</v>
      </c>
      <c r="B136" s="1" t="str">
        <f>_xlfn.XLOOKUP(operations[[#This Row],[Category]],categories[Category],categories[Type],"",0,1)</f>
        <v>Expense</v>
      </c>
    </row>
    <row r="137" spans="1:2">
      <c r="A137" s="1" t="s">
        <v>56</v>
      </c>
      <c r="B137" s="1" t="str">
        <f>_xlfn.XLOOKUP(operations[[#This Row],[Category]],categories[Category],categories[Type],"",0,1)</f>
        <v>Expense</v>
      </c>
    </row>
    <row r="138" spans="1:2">
      <c r="A138" s="1" t="s">
        <v>45</v>
      </c>
      <c r="B138" s="1" t="str">
        <f>_xlfn.XLOOKUP(operations[[#This Row],[Category]],categories[Category],categories[Type],"",0,1)</f>
        <v>Expense</v>
      </c>
    </row>
    <row r="139" spans="1:2">
      <c r="A139" s="1" t="s">
        <v>63</v>
      </c>
      <c r="B139" s="1" t="str">
        <f>_xlfn.XLOOKUP(operations[[#This Row],[Category]],categories[Category],categories[Type],"",0,1)</f>
        <v>Income</v>
      </c>
    </row>
    <row r="140" spans="1:2">
      <c r="A140" s="1" t="s">
        <v>60</v>
      </c>
      <c r="B140" s="1" t="str">
        <f>_xlfn.XLOOKUP(operations[[#This Row],[Category]],categories[Category],categories[Type],"",0,1)</f>
        <v>Income</v>
      </c>
    </row>
    <row r="141" spans="1:2">
      <c r="A141" s="1" t="s">
        <v>56</v>
      </c>
      <c r="B141" s="1" t="str">
        <f>_xlfn.XLOOKUP(operations[[#This Row],[Category]],categories[Category],categories[Type],"",0,1)</f>
        <v>Expense</v>
      </c>
    </row>
    <row r="142" spans="1:2">
      <c r="A142" s="1" t="s">
        <v>51</v>
      </c>
      <c r="B142" s="1" t="str">
        <f>_xlfn.XLOOKUP(operations[[#This Row],[Category]],categories[Category],categories[Type],"",0,1)</f>
        <v>Expense</v>
      </c>
    </row>
    <row r="143" spans="1:2">
      <c r="A143" s="1" t="s">
        <v>53</v>
      </c>
      <c r="B143" s="1" t="str">
        <f>_xlfn.XLOOKUP(operations[[#This Row],[Category]],categories[Category],categories[Type],"",0,1)</f>
        <v>Expense</v>
      </c>
    </row>
    <row r="144" spans="1:2">
      <c r="A144" s="1" t="s">
        <v>51</v>
      </c>
      <c r="B144" s="1" t="str">
        <f>_xlfn.XLOOKUP(operations[[#This Row],[Category]],categories[Category],categories[Type],"",0,1)</f>
        <v>Expense</v>
      </c>
    </row>
    <row r="145" spans="1:2">
      <c r="A145" s="1" t="s">
        <v>62</v>
      </c>
      <c r="B145" s="1" t="str">
        <f>_xlfn.XLOOKUP(operations[[#This Row],[Category]],categories[Category],categories[Type],"",0,1)</f>
        <v>Income</v>
      </c>
    </row>
    <row r="146" spans="1:2">
      <c r="A146" s="1" t="s">
        <v>49</v>
      </c>
      <c r="B146" s="1" t="str">
        <f>_xlfn.XLOOKUP(operations[[#This Row],[Category]],categories[Category],categories[Type],"",0,1)</f>
        <v>Expense</v>
      </c>
    </row>
    <row r="147" spans="1:2">
      <c r="A147" s="1" t="s">
        <v>41</v>
      </c>
      <c r="B147" s="1" t="str">
        <f>_xlfn.XLOOKUP(operations[[#This Row],[Category]],categories[Category],categories[Type],"",0,1)</f>
        <v>Expense</v>
      </c>
    </row>
    <row r="148" spans="1:2">
      <c r="A148" s="1" t="s">
        <v>64</v>
      </c>
      <c r="B148" s="1" t="str">
        <f>_xlfn.XLOOKUP(operations[[#This Row],[Category]],categories[Category],categories[Type],"",0,1)</f>
        <v>Transfer</v>
      </c>
    </row>
    <row r="149" spans="1:2">
      <c r="A149" s="1" t="s">
        <v>64</v>
      </c>
      <c r="B149" s="1" t="str">
        <f>_xlfn.XLOOKUP(operations[[#This Row],[Category]],categories[Category],categories[Type],"",0,1)</f>
        <v>Transfer</v>
      </c>
    </row>
    <row r="150" spans="1:2">
      <c r="A150" s="1" t="s">
        <v>51</v>
      </c>
      <c r="B150" s="1" t="str">
        <f>_xlfn.XLOOKUP(operations[[#This Row],[Category]],categories[Category],categories[Type],"",0,1)</f>
        <v>Expense</v>
      </c>
    </row>
    <row r="151" spans="1:2">
      <c r="A151" s="1" t="s">
        <v>56</v>
      </c>
      <c r="B151" s="1" t="str">
        <f>_xlfn.XLOOKUP(operations[[#This Row],[Category]],categories[Category],categories[Type],"",0,1)</f>
        <v>Expense</v>
      </c>
    </row>
    <row r="152" spans="1:2">
      <c r="A152" s="1" t="s">
        <v>53</v>
      </c>
      <c r="B152" s="1" t="str">
        <f>_xlfn.XLOOKUP(operations[[#This Row],[Category]],categories[Category],categories[Type],"",0,1)</f>
        <v>Expense</v>
      </c>
    </row>
    <row r="153" spans="1:2">
      <c r="A153" s="1" t="s">
        <v>51</v>
      </c>
      <c r="B153" s="1" t="str">
        <f>_xlfn.XLOOKUP(operations[[#This Row],[Category]],categories[Category],categories[Type],"",0,1)</f>
        <v>Expense</v>
      </c>
    </row>
    <row r="154" spans="1:2">
      <c r="A154" s="1" t="s">
        <v>62</v>
      </c>
      <c r="B154" s="1" t="str">
        <f>_xlfn.XLOOKUP(operations[[#This Row],[Category]],categories[Category],categories[Type],"",0,1)</f>
        <v>Income</v>
      </c>
    </row>
    <row r="155" spans="1:2">
      <c r="A155" s="1" t="s">
        <v>49</v>
      </c>
      <c r="B155" s="1" t="str">
        <f>_xlfn.XLOOKUP(operations[[#This Row],[Category]],categories[Category],categories[Type],"",0,1)</f>
        <v>Expense</v>
      </c>
    </row>
    <row r="156" spans="1:2">
      <c r="A156" s="1" t="s">
        <v>41</v>
      </c>
      <c r="B156" s="1" t="str">
        <f>_xlfn.XLOOKUP(operations[[#This Row],[Category]],categories[Category],categories[Type],"",0,1)</f>
        <v>Expense</v>
      </c>
    </row>
    <row r="157" spans="1:2">
      <c r="A157" s="1" t="s">
        <v>64</v>
      </c>
      <c r="B157" s="1" t="str">
        <f>_xlfn.XLOOKUP(operations[[#This Row],[Category]],categories[Category],categories[Type],"",0,1)</f>
        <v>Transfer</v>
      </c>
    </row>
    <row r="158" spans="1:2">
      <c r="A158" s="1" t="s">
        <v>64</v>
      </c>
      <c r="B158" s="1" t="str">
        <f>_xlfn.XLOOKUP(operations[[#This Row],[Category]],categories[Category],categories[Type],"",0,1)</f>
        <v>Transfer</v>
      </c>
    </row>
    <row r="159" spans="1:2">
      <c r="A159" s="1" t="s">
        <v>62</v>
      </c>
      <c r="B159" s="1" t="str">
        <f>_xlfn.XLOOKUP(operations[[#This Row],[Category]],categories[Category],categories[Type],"",0,1)</f>
        <v>Income</v>
      </c>
    </row>
    <row r="160" spans="1:2">
      <c r="A160" s="1" t="s">
        <v>41</v>
      </c>
      <c r="B160" s="1" t="str">
        <f>_xlfn.XLOOKUP(operations[[#This Row],[Category]],categories[Category],categories[Type],"",0,1)</f>
        <v>Expense</v>
      </c>
    </row>
    <row r="161" spans="1:2">
      <c r="A161" s="1" t="s">
        <v>56</v>
      </c>
      <c r="B161" s="1" t="str">
        <f>_xlfn.XLOOKUP(operations[[#This Row],[Category]],categories[Category],categories[Type],"",0,1)</f>
        <v>Expense</v>
      </c>
    </row>
    <row r="162" spans="1:2">
      <c r="A162" s="1" t="s">
        <v>51</v>
      </c>
      <c r="B162" s="1" t="str">
        <f>_xlfn.XLOOKUP(operations[[#This Row],[Category]],categories[Category],categories[Type],"",0,1)</f>
        <v>Expense</v>
      </c>
    </row>
    <row r="163" spans="1:2">
      <c r="A163" s="1" t="s">
        <v>53</v>
      </c>
      <c r="B163" s="1" t="str">
        <f>_xlfn.XLOOKUP(operations[[#This Row],[Category]],categories[Category],categories[Type],"",0,1)</f>
        <v>Expense</v>
      </c>
    </row>
    <row r="164" spans="1:2">
      <c r="A164" s="1" t="s">
        <v>49</v>
      </c>
      <c r="B164" s="1" t="str">
        <f>_xlfn.XLOOKUP(operations[[#This Row],[Category]],categories[Category],categories[Type],"",0,1)</f>
        <v>Expense</v>
      </c>
    </row>
    <row r="165" spans="1:2">
      <c r="A165" s="1" t="s">
        <v>64</v>
      </c>
      <c r="B165" s="1" t="str">
        <f>_xlfn.XLOOKUP(operations[[#This Row],[Category]],categories[Category],categories[Type],"",0,1)</f>
        <v>Transfer</v>
      </c>
    </row>
    <row r="166" spans="1:2">
      <c r="A166" s="1" t="s">
        <v>64</v>
      </c>
      <c r="B166" s="1" t="str">
        <f>_xlfn.XLOOKUP(operations[[#This Row],[Category]],categories[Category],categories[Type],"",0,1)</f>
        <v>Transfer</v>
      </c>
    </row>
    <row r="167" spans="1:2">
      <c r="A167" s="1" t="s">
        <v>51</v>
      </c>
      <c r="B167" s="1" t="str">
        <f>_xlfn.XLOOKUP(operations[[#This Row],[Category]],categories[Category],categories[Type],"",0,1)</f>
        <v>Expense</v>
      </c>
    </row>
    <row r="168" spans="1:2">
      <c r="A168" s="1" t="s">
        <v>52</v>
      </c>
      <c r="B168" s="1" t="str">
        <f>_xlfn.XLOOKUP(operations[[#This Row],[Category]],categories[Category],categories[Type],"",0,1)</f>
        <v>Expense</v>
      </c>
    </row>
    <row r="169" spans="1:2">
      <c r="A169" s="1" t="s">
        <v>56</v>
      </c>
      <c r="B169" s="1" t="str">
        <f>_xlfn.XLOOKUP(operations[[#This Row],[Category]],categories[Category],categories[Type],"",0,1)</f>
        <v>Expense</v>
      </c>
    </row>
    <row r="170" spans="1:2">
      <c r="A170" s="1" t="s">
        <v>51</v>
      </c>
      <c r="B170" s="1" t="str">
        <f>_xlfn.XLOOKUP(operations[[#This Row],[Category]],categories[Category],categories[Type],"",0,1)</f>
        <v>Expense</v>
      </c>
    </row>
    <row r="171" spans="1:2">
      <c r="A171" s="1" t="s">
        <v>45</v>
      </c>
      <c r="B171" s="1" t="str">
        <f>_xlfn.XLOOKUP(operations[[#This Row],[Category]],categories[Category],categories[Type],"",0,1)</f>
        <v>Expense</v>
      </c>
    </row>
    <row r="172" spans="1:2">
      <c r="A172" s="1" t="s">
        <v>54</v>
      </c>
      <c r="B172" s="1" t="str">
        <f>_xlfn.XLOOKUP(operations[[#This Row],[Category]],categories[Category],categories[Type],"",0,1)</f>
        <v>Expense</v>
      </c>
    </row>
    <row r="173" spans="1:2">
      <c r="A173" s="1" t="s">
        <v>45</v>
      </c>
      <c r="B173" s="1" t="str">
        <f>_xlfn.XLOOKUP(operations[[#This Row],[Category]],categories[Category],categories[Type],"",0,1)</f>
        <v>Expense</v>
      </c>
    </row>
    <row r="174" spans="1:2">
      <c r="A174" s="1" t="s">
        <v>51</v>
      </c>
      <c r="B174" s="1" t="str">
        <f>_xlfn.XLOOKUP(operations[[#This Row],[Category]],categories[Category],categories[Type],"",0,1)</f>
        <v>Expense</v>
      </c>
    </row>
    <row r="175" spans="1:2">
      <c r="A175" s="1" t="s">
        <v>52</v>
      </c>
      <c r="B175" s="1" t="str">
        <f>_xlfn.XLOOKUP(operations[[#This Row],[Category]],categories[Category],categories[Type],"",0,1)</f>
        <v>Expense</v>
      </c>
    </row>
    <row r="176" spans="1:2">
      <c r="A176" s="1" t="s">
        <v>53</v>
      </c>
      <c r="B176" s="1" t="str">
        <f>_xlfn.XLOOKUP(operations[[#This Row],[Category]],categories[Category],categories[Type],"",0,1)</f>
        <v>Expense</v>
      </c>
    </row>
    <row r="177" spans="1:2">
      <c r="A177" s="1" t="s">
        <v>56</v>
      </c>
      <c r="B177" s="1" t="str">
        <f>_xlfn.XLOOKUP(operations[[#This Row],[Category]],categories[Category],categories[Type],"",0,1)</f>
        <v>Expense</v>
      </c>
    </row>
    <row r="178" spans="1:2">
      <c r="A178" s="1" t="s">
        <v>49</v>
      </c>
      <c r="B178" s="1" t="str">
        <f>_xlfn.XLOOKUP(operations[[#This Row],[Category]],categories[Category],categories[Type],"",0,1)</f>
        <v>Expense</v>
      </c>
    </row>
    <row r="179" spans="1:2">
      <c r="A179" s="1" t="s">
        <v>51</v>
      </c>
      <c r="B179" s="1" t="str">
        <f>_xlfn.XLOOKUP(operations[[#This Row],[Category]],categories[Category],categories[Type],"",0,1)</f>
        <v>Expense</v>
      </c>
    </row>
    <row r="180" spans="1:2">
      <c r="A180" s="1" t="s">
        <v>56</v>
      </c>
      <c r="B180" s="1" t="str">
        <f>_xlfn.XLOOKUP(operations[[#This Row],[Category]],categories[Category],categories[Type],"",0,1)</f>
        <v>Expense</v>
      </c>
    </row>
    <row r="181" spans="1:2">
      <c r="A181" s="1" t="s">
        <v>49</v>
      </c>
      <c r="B181" s="1" t="str">
        <f>_xlfn.XLOOKUP(operations[[#This Row],[Category]],categories[Category],categories[Type],"",0,1)</f>
        <v>Expense</v>
      </c>
    </row>
    <row r="182" spans="1:2">
      <c r="A182" s="1" t="s">
        <v>56</v>
      </c>
      <c r="B182" s="1" t="str">
        <f>_xlfn.XLOOKUP(operations[[#This Row],[Category]],categories[Category],categories[Type],"",0,1)</f>
        <v>Expense</v>
      </c>
    </row>
    <row r="183" spans="1:2">
      <c r="A183" s="1" t="s">
        <v>54</v>
      </c>
      <c r="B183" s="1" t="str">
        <f>_xlfn.XLOOKUP(operations[[#This Row],[Category]],categories[Category],categories[Type],"",0,1)</f>
        <v>Expense</v>
      </c>
    </row>
    <row r="184" spans="1:2">
      <c r="A184" s="1" t="s">
        <v>60</v>
      </c>
      <c r="B184" s="1" t="str">
        <f>_xlfn.XLOOKUP(operations[[#This Row],[Category]],categories[Category],categories[Type],"",0,1)</f>
        <v>Income</v>
      </c>
    </row>
    <row r="185" spans="1:2">
      <c r="A185" s="1" t="s">
        <v>51</v>
      </c>
      <c r="B185" s="1" t="str">
        <f>_xlfn.XLOOKUP(operations[[#This Row],[Category]],categories[Category],categories[Type],"",0,1)</f>
        <v>Expense</v>
      </c>
    </row>
    <row r="186" spans="1:2">
      <c r="A186" s="1" t="s">
        <v>51</v>
      </c>
      <c r="B186" s="1" t="str">
        <f>_xlfn.XLOOKUP(operations[[#This Row],[Category]],categories[Category],categories[Type],"",0,1)</f>
        <v>Expense</v>
      </c>
    </row>
    <row r="187" spans="1:2">
      <c r="A187" s="1" t="s">
        <v>51</v>
      </c>
      <c r="B187" s="1" t="str">
        <f>_xlfn.XLOOKUP(operations[[#This Row],[Category]],categories[Category],categories[Type],"",0,1)</f>
        <v>Expense</v>
      </c>
    </row>
    <row r="188" spans="1:2">
      <c r="A188" s="1" t="s">
        <v>52</v>
      </c>
      <c r="B188" s="1" t="str">
        <f>_xlfn.XLOOKUP(operations[[#This Row],[Category]],categories[Category],categories[Type],"",0,1)</f>
        <v>Expense</v>
      </c>
    </row>
    <row r="189" spans="1:2">
      <c r="A189" s="1" t="s">
        <v>54</v>
      </c>
      <c r="B189" s="1" t="str">
        <f>_xlfn.XLOOKUP(operations[[#This Row],[Category]],categories[Category],categories[Type],"",0,1)</f>
        <v>Expense</v>
      </c>
    </row>
    <row r="190" spans="1:2">
      <c r="A190" s="1" t="s">
        <v>45</v>
      </c>
      <c r="B190" s="1" t="str">
        <f>_xlfn.XLOOKUP(operations[[#This Row],[Category]],categories[Category],categories[Type],"",0,1)</f>
        <v>Expense</v>
      </c>
    </row>
    <row r="191" spans="1:2">
      <c r="A191" s="1" t="s">
        <v>52</v>
      </c>
      <c r="B191" s="1" t="str">
        <f>_xlfn.XLOOKUP(operations[[#This Row],[Category]],categories[Category],categories[Type],"",0,1)</f>
        <v>Expense</v>
      </c>
    </row>
    <row r="192" spans="1:2">
      <c r="A192" s="1" t="s">
        <v>54</v>
      </c>
      <c r="B192" s="1" t="str">
        <f>_xlfn.XLOOKUP(operations[[#This Row],[Category]],categories[Category],categories[Type],"",0,1)</f>
        <v>Expense</v>
      </c>
    </row>
    <row r="193" spans="1:2">
      <c r="A193" s="1" t="s">
        <v>45</v>
      </c>
      <c r="B193" s="1" t="str">
        <f>_xlfn.XLOOKUP(operations[[#This Row],[Category]],categories[Category],categories[Type],"",0,1)</f>
        <v>Expense</v>
      </c>
    </row>
    <row r="194" spans="1:2">
      <c r="A194" s="1" t="s">
        <v>49</v>
      </c>
      <c r="B194" s="1" t="str">
        <f>_xlfn.XLOOKUP(operations[[#This Row],[Category]],categories[Category],categories[Type],"",0,1)</f>
        <v>Expense</v>
      </c>
    </row>
    <row r="195" spans="1:2">
      <c r="A195" s="1" t="s">
        <v>49</v>
      </c>
      <c r="B195" s="1" t="str">
        <f>_xlfn.XLOOKUP(operations[[#This Row],[Category]],categories[Category],categories[Type],"",0,1)</f>
        <v>Expense</v>
      </c>
    </row>
    <row r="196" spans="1:2">
      <c r="A196" s="1" t="s">
        <v>51</v>
      </c>
      <c r="B196" s="1" t="str">
        <f>_xlfn.XLOOKUP(operations[[#This Row],[Category]],categories[Category],categories[Type],"",0,1)</f>
        <v>Expense</v>
      </c>
    </row>
    <row r="197" spans="1:2">
      <c r="A197" s="1" t="s">
        <v>51</v>
      </c>
      <c r="B197" s="1" t="str">
        <f>_xlfn.XLOOKUP(operations[[#This Row],[Category]],categories[Category],categories[Type],"",0,1)</f>
        <v>Expense</v>
      </c>
    </row>
    <row r="198" spans="1:2">
      <c r="A198" s="1" t="s">
        <v>62</v>
      </c>
      <c r="B198" s="1" t="str">
        <f>_xlfn.XLOOKUP(operations[[#This Row],[Category]],categories[Category],categories[Type],"",0,1)</f>
        <v>Income</v>
      </c>
    </row>
    <row r="199" spans="1:2">
      <c r="A199" s="1" t="s">
        <v>41</v>
      </c>
      <c r="B199" s="1" t="str">
        <f>_xlfn.XLOOKUP(operations[[#This Row],[Category]],categories[Category],categories[Type],"",0,1)</f>
        <v>Expense</v>
      </c>
    </row>
    <row r="200" spans="1:2">
      <c r="A200" s="1" t="s">
        <v>49</v>
      </c>
      <c r="B200" s="1" t="str">
        <f>_xlfn.XLOOKUP(operations[[#This Row],[Category]],categories[Category],categories[Type],"",0,1)</f>
        <v>Expense</v>
      </c>
    </row>
    <row r="201" spans="1:2">
      <c r="A201" s="1" t="s">
        <v>55</v>
      </c>
      <c r="B201" s="1" t="str">
        <f>_xlfn.XLOOKUP(operations[[#This Row],[Category]],categories[Category],categories[Type],"",0,1)</f>
        <v>Expense</v>
      </c>
    </row>
    <row r="202" spans="1:2">
      <c r="A202" s="1" t="s">
        <v>51</v>
      </c>
      <c r="B202" s="1" t="str">
        <f>_xlfn.XLOOKUP(operations[[#This Row],[Category]],categories[Category],categories[Type],"",0,1)</f>
        <v>Expense</v>
      </c>
    </row>
    <row r="203" spans="1:2">
      <c r="A203" s="1" t="s">
        <v>60</v>
      </c>
      <c r="B203" s="1" t="str">
        <f>_xlfn.XLOOKUP(operations[[#This Row],[Category]],categories[Category],categories[Type],"",0,1)</f>
        <v>Income</v>
      </c>
    </row>
    <row r="204" spans="1:2">
      <c r="A204" s="1" t="s">
        <v>49</v>
      </c>
      <c r="B204" s="1" t="str">
        <f>_xlfn.XLOOKUP(operations[[#This Row],[Category]],categories[Category],categories[Type],"",0,1)</f>
        <v>Expense</v>
      </c>
    </row>
    <row r="205" spans="1:2">
      <c r="A205" s="1" t="s">
        <v>60</v>
      </c>
      <c r="B205" s="1" t="str">
        <f>_xlfn.XLOOKUP(operations[[#This Row],[Category]],categories[Category],categories[Type],"",0,1)</f>
        <v>Income</v>
      </c>
    </row>
    <row r="206" spans="1:2">
      <c r="A206" s="1" t="s">
        <v>54</v>
      </c>
      <c r="B206" s="1" t="str">
        <f>_xlfn.XLOOKUP(operations[[#This Row],[Category]],categories[Category],categories[Type],"",0,1)</f>
        <v>Expense</v>
      </c>
    </row>
    <row r="207" spans="1:2">
      <c r="A207" s="1" t="s">
        <v>51</v>
      </c>
      <c r="B207" s="1" t="str">
        <f>_xlfn.XLOOKUP(operations[[#This Row],[Category]],categories[Category],categories[Type],"",0,1)</f>
        <v>Expense</v>
      </c>
    </row>
  </sheetData>
  <dataValidations count="1">
    <dataValidation type="list" allowBlank="1" showInputMessage="1" showErrorMessage="1" sqref="A2:A207">
      <formula1>$D$2:$D$207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Uniwersytet Ekonomiczny w Krakowie</Company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operacje</vt:lpstr>
      <vt:lpstr>dictionary</vt:lpstr>
      <vt:lpstr>operations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Arkusz16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bucal</cp:lastModifiedBy>
  <dcterms:created xsi:type="dcterms:W3CDTF">2024-12-14T15:11:00Z</dcterms:created>
  <dcterms:modified xsi:type="dcterms:W3CDTF">2025-11-22T12:34:15Z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FBD40CEDA80141BAB0E485C36B2D59A7_12</vt:lpwstr>
  </property>
  <property fmtid="{D5CDD505-2E9C-101B-9397-08002B2CF9AE}" pid="3" name="KSOProductBuildVer">
    <vt:lpwstr>1045-12.2.0.23155</vt:lpwstr>
  </property>
</Properties>
</file>